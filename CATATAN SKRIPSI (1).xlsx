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jelasan" sheetId="1" r:id="rId5"/>
    <sheet state="visible" name="Tabel Skenario" sheetId="2" r:id="rId6"/>
    <sheet state="visible" name="Hasil Tahap 1" sheetId="3" r:id="rId7"/>
    <sheet state="visible" name="Hasil Tahap 2" sheetId="4" r:id="rId8"/>
    <sheet state="visible" name="Tahap 2 skenario 2 ovr" sheetId="5" r:id="rId9"/>
    <sheet state="visible" name="testing" sheetId="6" r:id="rId10"/>
    <sheet state="visible" name="Sheet5" sheetId="7" r:id="rId11"/>
  </sheets>
  <definedNames/>
  <calcPr/>
</workbook>
</file>

<file path=xl/sharedStrings.xml><?xml version="1.0" encoding="utf-8"?>
<sst xmlns="http://schemas.openxmlformats.org/spreadsheetml/2006/main" count="756" uniqueCount="264">
  <si>
    <t>DRAFT PENELITIAN AUGMENTASI DATA</t>
  </si>
  <si>
    <t>Dataset: Bahasa Indonesia (Web Scrapping Tweeter / X), ada 2 kolom, text dan label (0 dan 1)</t>
  </si>
  <si>
    <r>
      <t xml:space="preserve">Link: </t>
    </r>
    <r>
      <rPr>
        <rFont val="'Times New Roman',serif"/>
        <color rgb="FF1155CC"/>
        <sz val="12.0"/>
        <u/>
      </rPr>
      <t>https://drive.google.com/drive/folders/1Dgyk5reNdAo1u3u7Wwvmd1EH0xPALtGx</t>
    </r>
  </si>
  <si>
    <t>Simulasi Skenario (masing masing metode augmentasi akan di tes dengan skenario ini):</t>
  </si>
  <si>
    <t>Pengaruh augmentasi relatif dengan jumlah data augmentasi (dari data steve yang label 1 nya +-40% dari label 0 jadi 60%, 80%, 100%, bonus bila di upsampling semua ke 120% dari data asli (label 0 dan 1 jadi 120% dua dua nya))</t>
  </si>
  <si>
    <t>Pengaruh augmentasi relatif dengan imbalance ness/keparahan label tidak seimbang (dataset yang dipakai dipotong dulu sampai label 0 10ribu, kemudian label 1 di upsampling dari 6ribu, 4ribu, 2ribu)</t>
  </si>
  <si>
    <t>GOAL: Mencari Metode Augmentasi Data Terbaik dalam Masing Masing Skenario tadi dan “Overall Best” yang ditarik dari performa dalam berbagai skenario</t>
  </si>
  <si>
    <t>Metode Augmentasi (Modifikasi Data):</t>
  </si>
  <si>
    <t>Tanpa augmentasi (akan digunakkan sebagai baseline)</t>
  </si>
  <si>
    <t>EDA (Easy Data Augmentation)</t>
  </si>
  <si>
    <t>Synonym Replacement (SR) -&gt; ganti kata dengan sinonim</t>
  </si>
  <si>
    <t>Random Insertion (RI) -&gt; tambah kata dengan sinonim</t>
  </si>
  <si>
    <t>Random Swap (RS) -&gt; tukar kata secara random</t>
  </si>
  <si>
    <t>Random Deletion (RD) -&gt; hapus kata secara random</t>
  </si>
  <si>
    <r>
      <rPr>
        <rFont val="'Times New Roman',serif"/>
        <color rgb="FF1155CC"/>
        <sz val="12.0"/>
        <u/>
      </rPr>
      <t>[1901.11196] EDA: Easy Data Augmentation Techniques for Boosting Performance on Text Classification Tasks</t>
    </r>
  </si>
  <si>
    <t>SMOTE (BoW)</t>
  </si>
  <si>
    <r>
      <rPr>
        <rFont val="'Times New Roman',serif"/>
        <color rgb="FF1155CC"/>
        <sz val="12.0"/>
        <u/>
      </rPr>
      <t>[1106.1813] SMOTE: Synthetic Minority Over-sampling Technique</t>
    </r>
  </si>
  <si>
    <r>
      <rPr>
        <rFont val="'Times New Roman',serif"/>
        <color rgb="FF1155CC"/>
        <sz val="12.0"/>
        <u/>
      </rPr>
      <t>[1805.06201] Contextual Augmentation: Data Augmentation by Words with</t>
    </r>
  </si>
  <si>
    <t>Back Translation (LLM yang dulu di text web) -&gt; translate ke bahasa asing kemudian kembali</t>
  </si>
  <si>
    <r>
      <rPr>
        <rFont val="'Times New Roman',serif"/>
        <color rgb="FF1155CC"/>
        <sz val="12.0"/>
        <u/>
      </rPr>
      <t>[1511.06709] Improving Neural Machine Translation Models with Monolingual Data</t>
    </r>
  </si>
  <si>
    <r>
      <rPr>
        <rFont val="'Times New Roman',serif"/>
        <color rgb="FF1155CC"/>
        <sz val="12.0"/>
        <u/>
      </rPr>
      <t>Data Augmentation for Low-Resource Neural Machine Translation - ACL Anthology</t>
    </r>
  </si>
  <si>
    <t>BERT Masking -&gt; suruh model spt bert untuk menebak kata yang dihapus / Embedding Replacement -&gt; ganti salah satu kata dengan kata yang mirip secara embedding</t>
  </si>
  <si>
    <r>
      <rPr>
        <rFont val="'Times New Roman',serif"/>
        <color rgb="FF1155CC"/>
        <sz val="12.0"/>
        <u/>
      </rPr>
      <t>GitHub - makcedward/nlpaug: Data augmentation for NLP</t>
    </r>
  </si>
  <si>
    <r>
      <rPr>
        <rFont val="'Times New Roman',serif"/>
        <color rgb="FF1155CC"/>
        <sz val="12.0"/>
        <u/>
      </rPr>
      <t>[1805.06201] Contextual Augmentation: Data Augmentation by Words with Paradigmatic Relations</t>
    </r>
  </si>
  <si>
    <t>Paraphrase generation dengan IndoT5 -&gt; suruh llm generate beberapa kalimat yang artinya sama</t>
  </si>
  <si>
    <r>
      <rPr>
        <rFont val="'Times New Roman',serif"/>
        <color rgb="FF1155CC"/>
        <sz val="12.0"/>
        <u/>
      </rPr>
      <t>https://huggingface.co/Wikidepia/IndoT5-base-paraphrase</t>
    </r>
  </si>
  <si>
    <r>
      <rPr>
        <rFont val="'Times New Roman',serif"/>
        <color rgb="FF1155CC"/>
        <sz val="12.0"/>
        <u/>
      </rPr>
      <t>[1910.13461] BART: Denoising Sequence-to-Sequence Pre-training for Natural Language Generation, Translation, and Comprehension</t>
    </r>
    <r>
      <rPr>
        <rFont val="Times New Roman"/>
        <sz val="12.0"/>
      </rPr>
      <t/>
    </r>
    <r>
      <rPr>
        <rFont val="'Times New Roman',serif"/>
        <color rgb="FF1155CC"/>
        <sz val="12.0"/>
        <u/>
      </rPr>
      <t>[1910.10683] Exploring the Limits of Transfer Learning with a Unified Text-to-Text Transformer</t>
    </r>
  </si>
  <si>
    <t>Metode Klasifikasi:</t>
  </si>
  <si>
    <t>Transformers Based -IndoBERT</t>
  </si>
  <si>
    <r>
      <rPr>
        <rFont val="'Times New Roman',serif"/>
        <color rgb="FF1155CC"/>
        <sz val="12.0"/>
        <u/>
      </rPr>
      <t>Exploring emotion classification of indonesian tweets using large scale transfer learning via IndoBERT | Social Network Analysis and Mining</t>
    </r>
  </si>
  <si>
    <r>
      <rPr>
        <rFont val="'Times New Roman',serif"/>
        <color rgb="FF1155CC"/>
        <sz val="12.0"/>
        <u/>
      </rPr>
      <t>Performance Analysis of IndoBERT for Sentiment Classification in Indonesian Hotel Review Data</t>
    </r>
  </si>
  <si>
    <t>Deep Learning - Bi-LSTM</t>
  </si>
  <si>
    <r>
      <rPr>
        <rFont val="'Times New Roman',serif"/>
        <color rgb="FF1155CC"/>
        <sz val="12.0"/>
        <u/>
      </rPr>
      <t>[2009.05720] Improving Bi-LSTM Performance for Indonesian Sentiment Analysis Using Paragraph Vector</t>
    </r>
  </si>
  <si>
    <r>
      <rPr>
        <rFont val="'Times New Roman',serif"/>
        <color rgb="FF1155CC"/>
        <sz val="12.0"/>
        <u/>
      </rPr>
      <t>Indonesian Fake News Classification Using Transfer Learning in CNN and LSTM</t>
    </r>
  </si>
  <si>
    <r>
      <rPr>
        <rFont val="'Times New Roman',serif"/>
        <color rgb="FF1155CC"/>
        <sz val="12.0"/>
        <u/>
      </rPr>
      <t>Emotion classification of Indonesian Tweets using Bidirectional LSTM | Neural Computing and Applications</t>
    </r>
  </si>
  <si>
    <t>Ensemble</t>
  </si>
  <si>
    <t>Stacking</t>
  </si>
  <si>
    <t>Base Learners:</t>
  </si>
  <si>
    <t>Logistic Regression (LR)</t>
  </si>
  <si>
    <t>Random Forest (RF)</t>
  </si>
  <si>
    <t>Support Vector Machine (SVM)</t>
  </si>
  <si>
    <t>Meta Learner:</t>
  </si>
  <si>
    <r>
      <rPr>
        <rFont val="'Times New Roman',serif"/>
        <color rgb="FF1155CC"/>
        <sz val="12.0"/>
        <u/>
      </rPr>
      <t>Implementation of Stacking Ensemble Classifier for Multi-class Classification of COVID-19 Vaccines Topics on Twitter</t>
    </r>
  </si>
  <si>
    <t>Tinjauan Studi:</t>
  </si>
  <si>
    <t>Wei &amp; Zou (2020), “EDA: Easy Data Augmentation Techniques for Boosting Performance on Text Classification Tasks”</t>
  </si>
  <si>
    <r>
      <rPr>
        <rFont val="'Times New Roman',serif"/>
        <color rgb="FF1155CC"/>
        <sz val="12.0"/>
        <u/>
      </rPr>
      <t>https://arxiv.org/abs/1901.11196</t>
    </r>
  </si>
  <si>
    <t>Balkus et al. (2024), “Improving Short Text Classification with GPT-3 Augmentation” (Natural Language Engineering)</t>
  </si>
  <si>
    <r>
      <rPr>
        <rFont val="'Times New Roman',serif"/>
        <color rgb="FF1155CC"/>
        <sz val="12.0"/>
        <u/>
      </rPr>
      <t>https://arxiv.org/abs/2205.10981</t>
    </r>
  </si>
  <si>
    <t>Kesgin (2024), “Advancing NLP Models with Strategic Text Augmentation” (ScienceDirect)</t>
  </si>
  <si>
    <r>
      <rPr>
        <rFont val="'Times New Roman',serif"/>
        <color rgb="FF1155CC"/>
        <sz val="12.0"/>
        <u/>
      </rPr>
      <t>https://www.sciencedirect.com/science/article/pii/S2949719124000190</t>
    </r>
  </si>
  <si>
    <t>Zhao, H et al. (2024), “Improving Text Classification with Large Language Model-Based Data Augmentation”</t>
  </si>
  <si>
    <r>
      <rPr>
        <rFont val="'Times New Roman',serif"/>
        <color rgb="FF1155CC"/>
        <sz val="12.0"/>
        <u/>
      </rPr>
      <t>https://www.mdpi.com/2079-9292/13/13/2535</t>
    </r>
  </si>
  <si>
    <t>Rahma &amp; Suadaa (2023), “Penerapan Text Augmentation untuk Mengatasi Data yang Tidak Seimbang pada Klasifikasi Teks Berbahasa Indonesia”</t>
  </si>
  <si>
    <r>
      <rPr>
        <rFont val="'Times New Roman',serif"/>
        <color rgb="FF1155CC"/>
        <sz val="12.0"/>
        <u/>
      </rPr>
      <t>https://jtiik.ub.ac.id/index.php/jtiik/article/view/7325</t>
    </r>
  </si>
  <si>
    <t>Azizah (2023), “Easy Data Augmentation untuk Data yang Imbalance pada Klasifikasi Teks Berbahasa Indonesia”</t>
  </si>
  <si>
    <r>
      <rPr>
        <rFont val="'Times New Roman',serif"/>
        <color rgb="FF1155CC"/>
        <sz val="12.0"/>
        <u/>
      </rPr>
      <t>https://jtiik.ub.ac.id/index.php/jtiik/article/view/7082</t>
    </r>
  </si>
  <si>
    <t>Sari &amp; Suadaa (2025), “Study of the Application of Text Augmentation with Paraphrasing to Overcome Imbalanced Data in Indonesian Text Classification”</t>
  </si>
  <si>
    <r>
      <rPr>
        <rFont val="'Times New Roman',serif"/>
        <color rgb="FF1155CC"/>
        <sz val="12.0"/>
        <u/>
      </rPr>
      <t>https://www.researchgate.net/publication/392433012_Study_of_the_Application_of_Text_Augmentation_with_Paraphrasing_to_Overcome_Imbalanced_Data_in_Indonesian_Text_Classification</t>
    </r>
  </si>
  <si>
    <t>Huriah &amp; Suadaa (2025), “Optimization of Data Augmentation Based on Synonym Replacement for Indonesian News Text Classification”</t>
  </si>
  <si>
    <r>
      <rPr>
        <rFont val="'Times New Roman',serif"/>
        <color rgb="FF1155CC"/>
        <sz val="12.0"/>
        <u/>
      </rPr>
      <t>https://ojs.unikom.ac.id/index.php/komputa/article/view/15339</t>
    </r>
  </si>
  <si>
    <t>Survey pembuktian</t>
  </si>
  <si>
    <r>
      <rPr>
        <rFont val="'Times New Roman',serif"/>
        <color rgb="FF1155CC"/>
        <sz val="12.0"/>
        <u/>
      </rPr>
      <t>https://link.springer.com/article/10.1186/s40537-019-0192-5</t>
    </r>
  </si>
  <si>
    <r>
      <rPr>
        <rFont val="'Times New Roman',serif"/>
        <color rgb="FF1155CC"/>
        <sz val="12.0"/>
        <u/>
      </rPr>
      <t>https://aclanthology.org/2023.eacl-main.38.pdf</t>
    </r>
  </si>
  <si>
    <t>Judul (Peneliti, Tahun)</t>
  </si>
  <si>
    <t>Temuan Relevan</t>
  </si>
  <si>
    <t>Link Penelitian</t>
  </si>
  <si>
    <t>Assessing the Effectiveness of Various Text Classification Algorithms in Customer Complaint Classification (Helmy et al., 2024)</t>
  </si>
  <si>
    <t>Secara spesifik membandingkan berbagai rasio split dan menyimpulkan bahwa 80:20 adalah rasio yang paling cocok (most suitable) dan menjadi "dasar aman untuk bekerja" (secure base to work with) untuk klasifikasi teks.</t>
  </si>
  <si>
    <r>
      <rPr>
        <rFont val="Calibri,sans-serif"/>
        <color rgb="FF1155CC"/>
        <sz val="12.0"/>
        <u/>
      </rPr>
      <t>https://www.ijcaonline.org/archives/volume186/number2/helmy-2024-ijca-923346.pdf</t>
    </r>
  </si>
  <si>
    <t>Applying Natural Language Processing to Single-Report Prediction of Metastatic Disease Response Using the OR-RADS Lexicon (Balis, 2023)</t>
  </si>
  <si>
    <t>Menerapkan model BERT (serupa dengan IndoBERT) untuk tugas klasifikasi NLP dan secara eksplisit menggunakan "80–20% train/test split" untuk melatih dan mengevaluasi model.</t>
  </si>
  <si>
    <r>
      <rPr>
        <rFont val="Calibri,sans-serif"/>
        <color rgb="FF1155CC"/>
        <sz val="12.0"/>
        <u/>
      </rPr>
      <t>https://www.researchgate.net/publication/374608193_Applying_Natural_Language_Processing_to_Single-Report_Prediction_of_Metastatic_Disease_Response_Using_the_OR-RADS_Lexicon</t>
    </r>
  </si>
  <si>
    <t>VeMisNet: Enhanced Feature Engineering for Deep Learning-Based Misbehavior Detection in Vehicular Ad Hoc Networks (MDPI, 2025)</t>
  </si>
  <si>
    <t>Menggunakan "80/20 stratified split" sebagai konfigurasi standar untuk menangani masalah kelas yang sangat tidak seimbang (severe class imbalance), yang identik dengan kasus penelitian ini.</t>
  </si>
  <si>
    <r>
      <rPr>
        <rFont val="Calibri,sans-serif"/>
        <color rgb="FF1155CC"/>
        <sz val="12.0"/>
        <u/>
      </rPr>
      <t>https://www.mdpi.com/2224-2708/14/5/100</t>
    </r>
  </si>
  <si>
    <t>Logistic Regression and Naïve Bayes Comparison in Classifying Emotions on Indonesian X Social Media (ResearchGate, 2025)</t>
  </si>
  <si>
    <t>Dalam konteks klasifikasi emosi pada media sosial X (Twitter) Bahasa Indonesia, penelitian ini menemukan bahwa "20% data split" memberikan keseimbangan terbaik untuk pelatihan dan pengujian.</t>
  </si>
  <si>
    <r>
      <rPr>
        <rFont val="Calibri,sans-serif"/>
        <color rgb="FF1155CC"/>
        <sz val="12.0"/>
        <u/>
      </rPr>
      <t>https://www.researchgate.net/publication/392650107_Logistic_Regression_and_Naive_Bayes_Comparison_in_Classifying_Emotions_on_Indonesian_X_Social_Media</t>
    </r>
  </si>
  <si>
    <t>F1 untuk metrik pelatihan, early stopping</t>
  </si>
  <si>
    <t>https://pmc.ncbi.nlm.nih.gov/articles/PMC12886981/</t>
  </si>
  <si>
    <t>Hyperparameter Tuning</t>
  </si>
  <si>
    <t>RF, SVM</t>
  </si>
  <si>
    <t>https://www.sciencedirect.com/science/article/pii/S2665917423002611?</t>
  </si>
  <si>
    <t>https://www.datasciencebase.com/supervised-ml/optimization-tuning/tuning-for-decision-trees-svms-other-algorithms</t>
  </si>
  <si>
    <t>RF, SVM, LR</t>
  </si>
  <si>
    <t>https://theaspd.com/index.php/ijes/article/view/873</t>
  </si>
  <si>
    <t>BI-LSTM</t>
  </si>
  <si>
    <t>https://www.mdpi.com/2072-4292/15/8/2076</t>
  </si>
  <si>
    <t>https://scholar.its.ac.id/en/publications/enhancing-lstm-based-models-for-electricity-consumption-forecasti/</t>
  </si>
  <si>
    <t>https://umpir.ump.edu.my/id/eprint/45978/</t>
  </si>
  <si>
    <t>https://scik.org/index.php/cmbn/article/viewFile/9006/4176</t>
  </si>
  <si>
    <t>BERT</t>
  </si>
  <si>
    <t>https://arxiv.org/pdf/1810.04805</t>
  </si>
  <si>
    <t>For each task, we selected the best fine-tuning learning rate (among 5e-5, 4e-5, 3e-5, and 2e-5)</t>
  </si>
  <si>
    <t>https://arxiv.org/abs/2006.04884</t>
  </si>
  <si>
    <t>https://www.mdpi.com/2078-2489/16/11/981</t>
  </si>
  <si>
    <t>https://www.researchgate.net/publication/388053939_A_Systematic_Literature_Review_of_BERT-based_Models_for_Natural_Language_Processing_Tasks</t>
  </si>
  <si>
    <t>Note:</t>
  </si>
  <si>
    <t>PAKAI YANG 0-1 DULU. JUMLAH DATA RAW NYA 14620 - 3352 (TOTAL DATA 17612)</t>
  </si>
  <si>
    <t>Skenario 1: Pengaruh augmentasi relatif dengan jumlah data augmentasi (dari data steve yang label 1 nya +-40% dari label 0 jadi 60%, 80%, 100%, bonus bila di upsampling semua ke 120% dari data asli (label 0 dan 1 jadi 120% dua dua nya))</t>
  </si>
  <si>
    <t>Skenario 2: Pengaruh augmentasi relatif dengan imbalance ness/keparahan label tidak seimbang (dataset yang dipakai dipotong dulu sampai label 0 10ribu, kemudian label 1 di upsampling dari 6ribu, 4ribu, 2ribu)</t>
  </si>
  <si>
    <t>Skenario</t>
  </si>
  <si>
    <t>#</t>
  </si>
  <si>
    <t>penjelasan skenario</t>
  </si>
  <si>
    <t>jumlah data sebelum augmentasi asli</t>
  </si>
  <si>
    <t>jumlah label 0</t>
  </si>
  <si>
    <t>jumlah label 1</t>
  </si>
  <si>
    <t>jumlah label 0 - 20</t>
  </si>
  <si>
    <t>jumlah label 1 - 20</t>
  </si>
  <si>
    <t>jumlah label 0 - 80</t>
  </si>
  <si>
    <t>jumlah label 1 - 80</t>
  </si>
  <si>
    <t>target label 0 - 80</t>
  </si>
  <si>
    <t>target label 1 - 80</t>
  </si>
  <si>
    <t>total data 80 setelah aug</t>
  </si>
  <si>
    <t>ASLI</t>
  </si>
  <si>
    <t>Note</t>
  </si>
  <si>
    <t>a</t>
  </si>
  <si>
    <t>label 1 diaugmentasi sampai 60% dari label 0</t>
  </si>
  <si>
    <t>-</t>
  </si>
  <si>
    <t>b</t>
  </si>
  <si>
    <t>label 1 diaugmentasi sampai 80% dari label 0</t>
  </si>
  <si>
    <t>c</t>
  </si>
  <si>
    <t>label 1 diaugmentasi sampai 100% dari label 0</t>
  </si>
  <si>
    <t>label 1 di augmentasi sampai sama dengan label 0, label 1 mulai dari 50% dari label 0</t>
  </si>
  <si>
    <t>label 1 di augmentasi sampai sama dengan label 0, label 1 mulai dari 30% dari label 0</t>
  </si>
  <si>
    <t>label 1 di augmentasi sampai sama dengan label 0, label 1 mulai dari 10% dari label 0</t>
  </si>
  <si>
    <t>Model</t>
  </si>
  <si>
    <t>Metode Augmentasi</t>
  </si>
  <si>
    <t>(0, 1 untuk yg 2 kolom)</t>
  </si>
  <si>
    <t>Akurasi</t>
  </si>
  <si>
    <t>Presisi</t>
  </si>
  <si>
    <t>Recall</t>
  </si>
  <si>
    <t>F1</t>
  </si>
  <si>
    <t>AUC</t>
  </si>
  <si>
    <t>TANPA AUGMENTASI</t>
  </si>
  <si>
    <t>EDA</t>
  </si>
  <si>
    <t>SMOTE</t>
  </si>
  <si>
    <t>BACK TRANSLATION</t>
  </si>
  <si>
    <t>MASKING</t>
  </si>
  <si>
    <t>PARAPHRASE GENERATION</t>
  </si>
  <si>
    <t>IndoBERT</t>
  </si>
  <si>
    <t>Augment 70</t>
  </si>
  <si>
    <t>PARAPHRASE</t>
  </si>
  <si>
    <t>Presisi 0</t>
  </si>
  <si>
    <t>Presisi 1</t>
  </si>
  <si>
    <t>Recall 0</t>
  </si>
  <si>
    <t>Recall 1</t>
  </si>
  <si>
    <t>F1 0</t>
  </si>
  <si>
    <t>F1 1</t>
  </si>
  <si>
    <t>Train + Valid</t>
  </si>
  <si>
    <t>Train</t>
  </si>
  <si>
    <t>1A</t>
  </si>
  <si>
    <t>BT</t>
  </si>
  <si>
    <t>1B</t>
  </si>
  <si>
    <t>1C</t>
  </si>
  <si>
    <t>2A</t>
  </si>
  <si>
    <t>2B</t>
  </si>
  <si>
    <t>2C</t>
  </si>
  <si>
    <t>smote</t>
  </si>
  <si>
    <t>eda</t>
  </si>
  <si>
    <t>paraphrase</t>
  </si>
  <si>
    <t>ensemble mean pooling</t>
  </si>
  <si>
    <t>https://arxiv.org/abs/1805.09843</t>
  </si>
  <si>
    <t>ensemble flattening</t>
  </si>
  <si>
    <t>Kenapa Fasttext</t>
  </si>
  <si>
    <t>kenapa bi lstm gak tf idf?</t>
  </si>
  <si>
    <t>the model effect (accuracy, F1) decreased by about 1%. In the short text</t>
  </si>
  <si>
    <t>https://etd.repository.ugm.ac.id/penelitian/detail/192420</t>
  </si>
  <si>
    <t>https://www.researchgate.net/publication/358051179_Research_of_Text_Classification_Based_on_TF-IDF_and_CNN-LSTM</t>
  </si>
  <si>
    <t>https://journal.unilak.ac.id/index.php/zn/article/view/24779</t>
  </si>
  <si>
    <t>https://www.sciencedirect.com/science/article/abs/pii/S0167865520300817</t>
  </si>
  <si>
    <t>Vectorizer</t>
  </si>
  <si>
    <t>ensemble FastText</t>
  </si>
  <si>
    <t>ensemble TF-IDF 1,3 Gram</t>
  </si>
  <si>
    <t>TF IDF</t>
  </si>
  <si>
    <t>ensemble TF-IDF 2,3 Gram</t>
  </si>
  <si>
    <t>early stopping</t>
  </si>
  <si>
    <t>bi-lstm f1</t>
  </si>
  <si>
    <t>bi-lstm recall</t>
  </si>
  <si>
    <t>bi-lstm loss</t>
  </si>
  <si>
    <t>RECALL</t>
  </si>
  <si>
    <t>indobert f1</t>
  </si>
  <si>
    <t>indobert recall</t>
  </si>
  <si>
    <t>indobert loss</t>
  </si>
  <si>
    <t>default vs hpt</t>
  </si>
  <si>
    <t>Parameter</t>
  </si>
  <si>
    <t>ensemble</t>
  </si>
  <si>
    <t>final_estimator__C = 1.0
rf__max_depth = None
rf__min_samples_split = 2
rf__n_estimators = 100
svm__C = 1.0</t>
  </si>
  <si>
    <t>ensemble-hpt recall</t>
  </si>
  <si>
    <t>final_estimator__C = 10
rf__max_depth = None
rf__min_samples_split = 5
rf__n_estimators = 200
svm__C = 0.1</t>
  </si>
  <si>
    <t>ensemble-hpt loss</t>
  </si>
  <si>
    <t>ensemble-hpt f1</t>
  </si>
  <si>
    <t>(parameter hasil tuning sama semua, perbedaan performa sangat minim)</t>
  </si>
  <si>
    <t>bi-lstm</t>
  </si>
  <si>
    <t>batch_size = 16
lr = 0.001
hidden_dim = 32
dropout = none</t>
  </si>
  <si>
    <t>bi-lstm-hpt recall</t>
  </si>
  <si>
    <t>batch_size = 32
lr = 0.001
hidden_dim = 64
dropout = 0.5</t>
  </si>
  <si>
    <t>bi-lstm-hpt loss</t>
  </si>
  <si>
    <t>batch_size = 16
lr = 0.001
hidden_dim = 64
dropout = 0.3</t>
  </si>
  <si>
    <t>performa saat tuning parameter dengan loss terbaik, maka gunakan parameter loss</t>
  </si>
  <si>
    <t>bi-lstm-hpt f1</t>
  </si>
  <si>
    <t>indobert</t>
  </si>
  <si>
    <t>batch_size = 16
lr = 2e-05</t>
  </si>
  <si>
    <t>hpt default terbaik, maka gunakan param default</t>
  </si>
  <si>
    <t>indobert-hpt recall</t>
  </si>
  <si>
    <t>batch_size = 32
lr = 3e-05</t>
  </si>
  <si>
    <t>indobert-hpt loss</t>
  </si>
  <si>
    <t>batch_size = 16
lr = 5e-05</t>
  </si>
  <si>
    <t>indobert-hpt f1</t>
  </si>
  <si>
    <t>batch_size = 32
lr = 2e-05</t>
  </si>
  <si>
    <t>Skenario 2 dengan test set sama / sesuai proposal</t>
  </si>
  <si>
    <t>yang sekarng</t>
  </si>
  <si>
    <t>Ensemble 2A</t>
  </si>
  <si>
    <t>Bi-LSTM 2A</t>
  </si>
  <si>
    <t>IndoBERT 2A</t>
  </si>
  <si>
    <t>Ensemble 2B</t>
  </si>
  <si>
    <t>Bi-LSTM 2B</t>
  </si>
  <si>
    <t>IndoBERT 2B</t>
  </si>
  <si>
    <t>Ensemble 2C</t>
  </si>
  <si>
    <t>Bi-LSTM 2C</t>
  </si>
  <si>
    <t>IndoBERT 2C</t>
  </si>
  <si>
    <t>test set sama dengan tahap 1</t>
  </si>
  <si>
    <t>Jenis Augmentasi</t>
  </si>
  <si>
    <t>Data Asli</t>
  </si>
  <si>
    <t>Data Setelah Augmentasi</t>
  </si>
  <si>
    <t>apa aku harus hilang supaya mereka paham</t>
  </si>
  <si>
    <t>apa hilang harus aku supaya mereka paham</t>
  </si>
  <si>
    <t>apa aku harus meresap supaya mereka paham</t>
  </si>
  <si>
    <t>terkadang aku merasa ingin mati hidup ini terasa begitu sia sia</t>
  </si>
  <si>
    <t>terkadang merasa ingin mati hidup ini terasa begitu</t>
  </si>
  <si>
    <t>bingung tertekan marah ngapain harus dan merasa nggak nggak punya bantuan pilihan</t>
  </si>
  <si>
    <t>dalam kondisi yang buruk sekarang keinginan untuk menyakiti diri sendiri semakin kuat untuk menghilangkan semua rasa sakit yang kurasakan</t>
  </si>
  <si>
    <t>ga si buat bunuh diri normal buat bunuh si mikir pernah ga bunuh diri buat</t>
  </si>
  <si>
    <t>mau mati aja aku</t>
  </si>
  <si>
    <t>mati aja rasanya aja rasanya rasanya mati aja mati aja pgn mati aja gue diri gue pgn mati</t>
  </si>
  <si>
    <t>Mungkin ini terakhir kali aku nulis sesuatu.</t>
  </si>
  <si>
    <t>(KOR) 이것이 내가 글을 쓰는 마지막일지도 모른다</t>
  </si>
  <si>
    <t>Ini mungkin yang terakhir yang saya tulis</t>
  </si>
  <si>
    <t>kepikiran buat bunuh diri</t>
  </si>
  <si>
    <t>(JPN)  自殺の考え</t>
  </si>
  <si>
    <t>Pikiran bunuh diri</t>
  </si>
  <si>
    <t>Mengakhiri hidup adalah ide yang kupikirkan sepanjang waktu, aku ingin segera melakukannya</t>
  </si>
  <si>
    <t>(FRA) La fin de la vie est une idée que je pense tout le temps, je veux la faire immédiatement</t>
  </si>
  <si>
    <t>Akhir hidup adalah ide yang selalu kupikirkan, aku ingin melakukannya segera</t>
  </si>
  <si>
    <t>gue kalo tau bunuh diri itu ga dosa mybe udh gue lakuin</t>
  </si>
  <si>
    <t>gue [MASK] tau bunuh diri itu [MASK] dosa mybe udh gue [MASK]</t>
  </si>
  <si>
    <t>gue baru tau bunuh diri itu bukan dosa mybe udh gue lakuin</t>
  </si>
  <si>
    <t>banyak orang menjauhiku, aku sudah tidak kuat lagi, aku ingin mengakhiri hidup.</t>
  </si>
  <si>
    <t xml:space="preserve"> [MASK] orang menjauhiku, aku sudah tidak kuat lagi, [MASK] ingin mengakhiri hidup</t>
  </si>
  <si>
    <t>orang orang menjauhiku , aku sudah tidak kuat lagi , aku ingin mengakhiri hidup</t>
  </si>
  <si>
    <t>pgn mati aja bole ga si ky cape bgt</t>
  </si>
  <si>
    <t>[MASK] mati [MASK] bole ga si ky cape bgt</t>
  </si>
  <si>
    <t>aku mati aja bole ga si ky cape bgt</t>
  </si>
  <si>
    <t>kepikiran buat bunuh diri.</t>
  </si>
  <si>
    <t>Yah, kepikiran untuk bunuh diri.</t>
  </si>
  <si>
    <t>Banyak orang ingin hidup panjang, melainkan aku disini sengsara dalam hidup dan menginingkan kematian. Aku akan segera menuju kepada kematian.</t>
  </si>
  <si>
    <t>Yah, banyak dari kita ingin hidup panjang tetapi saya disini sengsara dalam sebuah kehidupan dan mengharapkan kematian. Saya telah menuju pada kematian segera setelah itu datang ke titik dimana aku akan segera meninggal</t>
  </si>
  <si>
    <t>Nah, itu mungkin yang terakhir dari kalian nulis sesuatu.</t>
  </si>
  <si>
    <t>AVERAGE (AUGMENTED)</t>
  </si>
  <si>
    <t>AVERAGE</t>
  </si>
  <si>
    <t>AVERAGE (AUGMENTED) (60%)</t>
  </si>
  <si>
    <t>AVERAGE (AUGMENTED) (80%)</t>
  </si>
  <si>
    <t>AVERAGE (AUGMENTED) (100%)</t>
  </si>
  <si>
    <t>Bi-LSTM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</si>
</sst>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8">
    <font>
      <sz val="10.0"/>
      <color rgb="FF000000"/>
      <name val="Arial"/>
      <scheme val="minor"/>
    </font>
    <font>
      <color theme="1"/>
      <name val="Arial"/>
    </font>
    <font>
      <b/>
      <sz val="24.0"/>
      <color theme="1"/>
      <name val="Times New Roman"/>
    </font>
    <font>
      <sz val="12.0"/>
      <color theme="1"/>
      <name val="Times New Roman"/>
    </font>
    <font>
      <u/>
      <sz val="12.0"/>
      <color rgb="FF0070C0"/>
      <name val="Times New Roman"/>
    </font>
    <font>
      <b/>
      <sz val="12.0"/>
      <color theme="1"/>
      <name val="Times New Roman"/>
    </font>
    <font>
      <b/>
      <sz val="18.0"/>
      <color theme="1"/>
      <name val="Times New Roman"/>
    </font>
    <font>
      <u/>
      <sz val="12.0"/>
      <color rgb="FF0000FF"/>
      <name val="Times New Roman"/>
    </font>
    <font>
      <u/>
      <sz val="12.0"/>
      <color rgb="FF0000FF"/>
      <name val="Times New Roman"/>
    </font>
    <font>
      <sz val="12.0"/>
      <color theme="1"/>
      <name val="Calibri"/>
    </font>
    <font>
      <i/>
      <sz val="12.0"/>
      <color theme="1"/>
      <name val="Calibri"/>
    </font>
    <font>
      <u/>
      <sz val="12.0"/>
      <color rgb="FF1155CC"/>
      <name val="Calibri"/>
    </font>
    <font>
      <u/>
      <color rgb="FF0000FF"/>
      <name val="Arial"/>
    </font>
    <font>
      <u/>
      <color rgb="FF1155CC"/>
      <name val="Arial"/>
    </font>
    <font>
      <color theme="1"/>
      <name val="Arial"/>
      <scheme val="minor"/>
    </font>
    <font>
      <u/>
      <color rgb="FF0000FF"/>
    </font>
    <font/>
    <font>
      <b/>
      <color theme="1"/>
      <name val="Arial"/>
      <scheme val="minor"/>
    </font>
  </fonts>
  <fills count="10">
    <fill>
      <patternFill patternType="none"/>
    </fill>
    <fill>
      <patternFill patternType="lightGray"/>
    </fill>
    <fill>
      <patternFill patternType="solid">
        <fgColor rgb="FFDD7E6B"/>
        <bgColor rgb="FFDD7E6B"/>
      </patternFill>
    </fill>
    <fill>
      <patternFill patternType="solid">
        <fgColor rgb="FFEAD1DC"/>
        <bgColor rgb="FFEAD1DC"/>
      </patternFill>
    </fill>
    <fill>
      <patternFill patternType="solid">
        <fgColor rgb="FFE6B8AF"/>
        <bgColor rgb="FFE6B8AF"/>
      </patternFill>
    </fill>
    <fill>
      <patternFill patternType="solid">
        <fgColor rgb="FFCFE2F3"/>
        <bgColor rgb="FFCFE2F3"/>
      </patternFill>
    </fill>
    <fill>
      <patternFill patternType="solid">
        <fgColor rgb="FF9FC5E8"/>
        <bgColor rgb="FF9FC5E8"/>
      </patternFill>
    </fill>
    <fill>
      <patternFill patternType="solid">
        <fgColor rgb="FFD0E0E3"/>
        <bgColor rgb="FFD0E0E3"/>
      </patternFill>
    </fill>
    <fill>
      <patternFill patternType="solid">
        <fgColor rgb="FFFFF2CC"/>
        <bgColor rgb="FFFFF2CC"/>
      </patternFill>
    </fill>
    <fill>
      <patternFill patternType="solid">
        <fgColor rgb="FFD9EAD3"/>
        <bgColor rgb="FFD9EAD3"/>
      </patternFill>
    </fill>
  </fills>
  <borders count="27">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top style="thin">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bottom style="medium">
        <color rgb="FF000000"/>
      </bottom>
    </border>
    <border>
      <bottom style="thick">
        <color rgb="FF000000"/>
      </bottom>
    </border>
    <border>
      <left style="thin">
        <color rgb="FF000000"/>
      </left>
      <right style="thin">
        <color rgb="FF000000"/>
      </right>
      <bottom style="thick">
        <color rgb="FF000000"/>
      </bottom>
    </border>
    <border>
      <left style="thin">
        <color rgb="FF000000"/>
      </lef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5" numFmtId="0" xfId="0" applyAlignment="1" applyFont="1">
      <alignment vertical="bottom"/>
    </xf>
    <xf borderId="0" fillId="0" fontId="8" numFmtId="0" xfId="0" applyAlignment="1" applyFont="1">
      <alignment vertical="bottom"/>
    </xf>
    <xf borderId="0" fillId="0" fontId="3" numFmtId="0" xfId="0" applyAlignment="1" applyFont="1">
      <alignment vertical="bottom"/>
    </xf>
    <xf borderId="0" fillId="0" fontId="9" numFmtId="0" xfId="0" applyAlignment="1" applyFont="1">
      <alignment shrinkToFit="0" vertical="bottom" wrapText="1"/>
    </xf>
    <xf borderId="0" fillId="0" fontId="9" numFmtId="0" xfId="0" applyAlignment="1" applyFont="1">
      <alignment shrinkToFit="0" vertical="bottom" wrapText="1"/>
    </xf>
    <xf borderId="0" fillId="0" fontId="10" numFmtId="0" xfId="0" applyAlignment="1" applyFont="1">
      <alignment shrinkToFit="0" vertical="bottom" wrapText="1"/>
    </xf>
    <xf borderId="0" fillId="0" fontId="11" numFmtId="0" xfId="0" applyAlignment="1" applyFont="1">
      <alignment shrinkToFit="0" vertical="bottom" wrapText="1"/>
    </xf>
    <xf borderId="0" fillId="0" fontId="1" numFmtId="0" xfId="0" applyAlignment="1" applyFont="1">
      <alignment readingOrder="0" vertical="bottom"/>
    </xf>
    <xf borderId="0" fillId="0" fontId="12" numFmtId="0" xfId="0" applyAlignment="1" applyFont="1">
      <alignment readingOrder="0" vertical="bottom"/>
    </xf>
    <xf borderId="0" fillId="0" fontId="13" numFmtId="0" xfId="0" applyAlignment="1" applyFont="1">
      <alignment vertical="bottom"/>
    </xf>
    <xf borderId="0" fillId="0" fontId="14" numFmtId="0" xfId="0" applyAlignment="1" applyFont="1">
      <alignment readingOrder="0"/>
    </xf>
    <xf borderId="0" fillId="0" fontId="15" numFmtId="0" xfId="0" applyAlignment="1" applyFont="1">
      <alignment readingOrder="0"/>
    </xf>
    <xf borderId="0" fillId="0" fontId="1" numFmtId="0" xfId="0" applyFont="1"/>
    <xf borderId="1" fillId="0" fontId="1" numFmtId="0" xfId="0" applyAlignment="1" applyBorder="1" applyFont="1">
      <alignment horizontal="center"/>
    </xf>
    <xf borderId="1" fillId="0" fontId="1" numFmtId="0" xfId="0" applyAlignment="1" applyBorder="1" applyFont="1">
      <alignment horizontal="center" readingOrder="0"/>
    </xf>
    <xf borderId="1" fillId="0" fontId="1" numFmtId="0" xfId="0" applyAlignment="1" applyBorder="1" applyFont="1">
      <alignment horizontal="center" vertical="bottom"/>
    </xf>
    <xf borderId="2" fillId="2" fontId="1" numFmtId="0" xfId="0" applyAlignment="1" applyBorder="1" applyFill="1" applyFont="1">
      <alignment horizontal="center" vertical="center"/>
    </xf>
    <xf borderId="2" fillId="3" fontId="1" numFmtId="0" xfId="0" applyAlignment="1" applyBorder="1" applyFill="1" applyFont="1">
      <alignment horizontal="center" vertical="center"/>
    </xf>
    <xf borderId="0" fillId="3" fontId="1" numFmtId="0" xfId="0" applyAlignment="1" applyFont="1">
      <alignment horizontal="center"/>
    </xf>
    <xf borderId="3" fillId="3" fontId="1" numFmtId="0" xfId="0" applyAlignment="1" applyBorder="1" applyFont="1">
      <alignment horizontal="center"/>
    </xf>
    <xf borderId="3" fillId="3" fontId="1" numFmtId="3" xfId="0" applyAlignment="1" applyBorder="1" applyFont="1" applyNumberFormat="1">
      <alignment horizontal="center"/>
    </xf>
    <xf borderId="3" fillId="3" fontId="1" numFmtId="3" xfId="0" applyAlignment="1" applyBorder="1" applyFont="1" applyNumberFormat="1">
      <alignment horizontal="center" readingOrder="0"/>
    </xf>
    <xf borderId="0" fillId="3" fontId="1" numFmtId="0" xfId="0" applyAlignment="1" applyFont="1">
      <alignment horizontal="center" vertical="center"/>
    </xf>
    <xf borderId="2" fillId="0" fontId="16" numFmtId="0" xfId="0" applyBorder="1" applyFont="1"/>
    <xf borderId="2" fillId="4" fontId="1" numFmtId="0" xfId="0" applyAlignment="1" applyBorder="1" applyFill="1" applyFont="1">
      <alignment horizontal="center" vertical="center"/>
    </xf>
    <xf borderId="0" fillId="4" fontId="1" numFmtId="0" xfId="0" applyAlignment="1" applyFont="1">
      <alignment horizontal="center"/>
    </xf>
    <xf borderId="3" fillId="4" fontId="1" numFmtId="0" xfId="0" applyAlignment="1" applyBorder="1" applyFont="1">
      <alignment horizontal="center"/>
    </xf>
    <xf borderId="3" fillId="4" fontId="1" numFmtId="3" xfId="0" applyAlignment="1" applyBorder="1" applyFont="1" applyNumberFormat="1">
      <alignment horizontal="center"/>
    </xf>
    <xf borderId="3" fillId="4" fontId="1" numFmtId="3" xfId="0" applyAlignment="1" applyBorder="1" applyFont="1" applyNumberFormat="1">
      <alignment horizontal="center" readingOrder="0"/>
    </xf>
    <xf borderId="4" fillId="0" fontId="16" numFmtId="0" xfId="0" applyBorder="1" applyFont="1"/>
    <xf borderId="4" fillId="5" fontId="1" numFmtId="0" xfId="0" applyAlignment="1" applyBorder="1" applyFill="1" applyFont="1">
      <alignment horizontal="center" vertical="center"/>
    </xf>
    <xf borderId="5" fillId="5" fontId="1" numFmtId="0" xfId="0" applyAlignment="1" applyBorder="1" applyFont="1">
      <alignment horizontal="center"/>
    </xf>
    <xf borderId="6" fillId="5" fontId="1" numFmtId="0" xfId="0" applyAlignment="1" applyBorder="1" applyFont="1">
      <alignment horizontal="center"/>
    </xf>
    <xf borderId="6" fillId="5" fontId="1" numFmtId="3" xfId="0" applyAlignment="1" applyBorder="1" applyFont="1" applyNumberFormat="1">
      <alignment horizontal="center"/>
    </xf>
    <xf borderId="6" fillId="5" fontId="1" numFmtId="3" xfId="0" applyAlignment="1" applyBorder="1" applyFont="1" applyNumberFormat="1">
      <alignment horizontal="center" readingOrder="0"/>
    </xf>
    <xf borderId="5" fillId="0" fontId="16" numFmtId="0" xfId="0" applyBorder="1" applyFont="1"/>
    <xf borderId="2" fillId="6" fontId="1" numFmtId="0" xfId="0" applyAlignment="1" applyBorder="1" applyFill="1" applyFont="1">
      <alignment horizontal="center" vertical="center"/>
    </xf>
    <xf borderId="2" fillId="7" fontId="1" numFmtId="0" xfId="0" applyAlignment="1" applyBorder="1" applyFill="1" applyFont="1">
      <alignment horizontal="center" vertical="center"/>
    </xf>
    <xf borderId="0" fillId="7" fontId="1" numFmtId="0" xfId="0" applyAlignment="1" applyFont="1">
      <alignment horizontal="center" shrinkToFit="0" wrapText="1"/>
    </xf>
    <xf borderId="3" fillId="7" fontId="1" numFmtId="0" xfId="0" applyAlignment="1" applyBorder="1" applyFont="1">
      <alignment horizontal="center" vertical="center"/>
    </xf>
    <xf borderId="3" fillId="7" fontId="1" numFmtId="3" xfId="0" applyAlignment="1" applyBorder="1" applyFont="1" applyNumberFormat="1">
      <alignment horizontal="center" vertical="center"/>
    </xf>
    <xf borderId="2" fillId="8" fontId="1" numFmtId="0" xfId="0" applyAlignment="1" applyBorder="1" applyFill="1" applyFont="1">
      <alignment horizontal="center" vertical="center"/>
    </xf>
    <xf borderId="0" fillId="8" fontId="1" numFmtId="0" xfId="0" applyAlignment="1" applyFont="1">
      <alignment horizontal="center" shrinkToFit="0" wrapText="1"/>
    </xf>
    <xf borderId="3" fillId="8" fontId="1" numFmtId="0" xfId="0" applyAlignment="1" applyBorder="1" applyFont="1">
      <alignment horizontal="center" vertical="center"/>
    </xf>
    <xf borderId="3" fillId="8" fontId="1" numFmtId="3" xfId="0" applyAlignment="1" applyBorder="1" applyFont="1" applyNumberFormat="1">
      <alignment horizontal="center" vertical="center"/>
    </xf>
    <xf borderId="4" fillId="9" fontId="1" numFmtId="0" xfId="0" applyAlignment="1" applyBorder="1" applyFill="1" applyFont="1">
      <alignment horizontal="center" vertical="center"/>
    </xf>
    <xf borderId="5" fillId="9" fontId="1" numFmtId="0" xfId="0" applyAlignment="1" applyBorder="1" applyFont="1">
      <alignment horizontal="center" shrinkToFit="0" wrapText="1"/>
    </xf>
    <xf borderId="6" fillId="9" fontId="1" numFmtId="0" xfId="0" applyAlignment="1" applyBorder="1" applyFont="1">
      <alignment horizontal="center" vertical="center"/>
    </xf>
    <xf borderId="6" fillId="9" fontId="1" numFmtId="3" xfId="0" applyAlignment="1" applyBorder="1" applyFont="1" applyNumberFormat="1">
      <alignment horizontal="center" vertical="center"/>
    </xf>
    <xf borderId="7" fillId="0" fontId="14" numFmtId="0" xfId="0" applyAlignment="1" applyBorder="1" applyFont="1">
      <alignment horizontal="center" readingOrder="0" vertical="center"/>
    </xf>
    <xf borderId="8" fillId="0" fontId="1" numFmtId="0" xfId="0" applyAlignment="1" applyBorder="1" applyFont="1">
      <alignment horizontal="center" vertical="center"/>
    </xf>
    <xf borderId="9" fillId="0" fontId="1" numFmtId="0" xfId="0" applyAlignment="1" applyBorder="1" applyFont="1">
      <alignment horizontal="center" readingOrder="0" vertical="center"/>
    </xf>
    <xf borderId="10" fillId="0" fontId="16" numFmtId="0" xfId="0" applyBorder="1" applyFont="1"/>
    <xf borderId="11" fillId="0" fontId="16" numFmtId="0" xfId="0" applyBorder="1" applyFont="1"/>
    <xf borderId="0" fillId="0" fontId="14" numFmtId="0" xfId="0" applyAlignment="1" applyFont="1">
      <alignment horizontal="center"/>
    </xf>
    <xf borderId="6" fillId="0" fontId="16" numFmtId="0" xfId="0" applyBorder="1" applyFont="1"/>
    <xf borderId="12" fillId="0" fontId="16" numFmtId="0" xfId="0" applyBorder="1" applyFont="1"/>
    <xf borderId="8" fillId="0" fontId="14" numFmtId="0" xfId="0" applyAlignment="1" applyBorder="1" applyFont="1">
      <alignment horizontal="center" readingOrder="0"/>
    </xf>
    <xf borderId="13" fillId="0" fontId="16" numFmtId="0" xfId="0" applyBorder="1" applyFont="1"/>
    <xf borderId="7" fillId="0" fontId="14" numFmtId="0" xfId="0" applyAlignment="1" applyBorder="1" applyFont="1">
      <alignment horizontal="center" readingOrder="0"/>
    </xf>
    <xf borderId="14" fillId="0" fontId="14" numFmtId="0" xfId="0" applyAlignment="1" applyBorder="1" applyFont="1">
      <alignment horizontal="center" readingOrder="0" vertical="center"/>
    </xf>
    <xf borderId="15" fillId="0" fontId="1" numFmtId="49" xfId="0" applyAlignment="1" applyBorder="1" applyFont="1" applyNumberFormat="1">
      <alignment readingOrder="0"/>
    </xf>
    <xf borderId="16" fillId="0" fontId="14" numFmtId="0" xfId="0" applyAlignment="1" applyBorder="1" applyFont="1">
      <alignment horizontal="center" readingOrder="0"/>
    </xf>
    <xf borderId="3" fillId="0" fontId="16" numFmtId="0" xfId="0" applyBorder="1" applyFont="1"/>
    <xf borderId="9" fillId="0" fontId="1" numFmtId="49" xfId="0" applyAlignment="1" applyBorder="1" applyFont="1" applyNumberFormat="1">
      <alignment readingOrder="0"/>
    </xf>
    <xf borderId="1" fillId="0" fontId="14" numFmtId="0" xfId="0" applyAlignment="1" applyBorder="1" applyFont="1">
      <alignment horizontal="center" readingOrder="0"/>
    </xf>
    <xf borderId="0" fillId="0" fontId="14" numFmtId="0" xfId="0" applyAlignment="1" applyFont="1">
      <alignment horizontal="center" readingOrder="0"/>
    </xf>
    <xf borderId="8" fillId="0" fontId="1" numFmtId="49" xfId="0" applyAlignment="1" applyBorder="1" applyFont="1" applyNumberFormat="1">
      <alignment readingOrder="0"/>
    </xf>
    <xf borderId="0" fillId="0" fontId="14" numFmtId="0" xfId="0" applyAlignment="1" applyFont="1">
      <alignment horizontal="center"/>
    </xf>
    <xf borderId="9" fillId="0" fontId="1" numFmtId="49" xfId="0" applyBorder="1" applyFont="1" applyNumberFormat="1"/>
    <xf borderId="0" fillId="0" fontId="14" numFmtId="164" xfId="0" applyAlignment="1" applyFont="1" applyNumberFormat="1">
      <alignment horizontal="center"/>
    </xf>
    <xf borderId="0" fillId="0" fontId="14" numFmtId="10" xfId="0" applyAlignment="1" applyFont="1" applyNumberFormat="1">
      <alignment horizontal="center"/>
    </xf>
    <xf borderId="0" fillId="0" fontId="14" numFmtId="0" xfId="0" applyAlignment="1" applyFont="1">
      <alignment horizontal="center" readingOrder="0" vertical="center"/>
    </xf>
    <xf borderId="17" fillId="0" fontId="16" numFmtId="0" xfId="0" applyBorder="1" applyFont="1"/>
    <xf borderId="18" fillId="0" fontId="16" numFmtId="0" xfId="0" applyBorder="1" applyFont="1"/>
    <xf borderId="19" fillId="0" fontId="16" numFmtId="0" xfId="0" applyBorder="1" applyFont="1"/>
    <xf borderId="20" fillId="0" fontId="1" numFmtId="49" xfId="0" applyAlignment="1" applyBorder="1" applyFont="1" applyNumberFormat="1">
      <alignment readingOrder="0"/>
    </xf>
    <xf borderId="21" fillId="0" fontId="14" numFmtId="0" xfId="0" applyAlignment="1" applyBorder="1" applyFont="1">
      <alignment horizontal="center" readingOrder="0"/>
    </xf>
    <xf borderId="3" fillId="0" fontId="14" numFmtId="0" xfId="0" applyAlignment="1" applyBorder="1" applyFont="1">
      <alignment horizontal="center" readingOrder="0" vertical="center"/>
    </xf>
    <xf borderId="12" fillId="0" fontId="1" numFmtId="49" xfId="0" applyAlignment="1" applyBorder="1" applyFont="1" applyNumberFormat="1">
      <alignment readingOrder="0"/>
    </xf>
    <xf borderId="6" fillId="0" fontId="14" numFmtId="0" xfId="0" applyAlignment="1" applyBorder="1" applyFont="1">
      <alignment horizontal="center" readingOrder="0"/>
    </xf>
    <xf borderId="22" fillId="0" fontId="16" numFmtId="0" xfId="0" applyBorder="1" applyFont="1"/>
    <xf borderId="23" fillId="0" fontId="1" numFmtId="49" xfId="0" applyAlignment="1" applyBorder="1" applyFont="1" applyNumberFormat="1">
      <alignment readingOrder="0"/>
    </xf>
    <xf borderId="24" fillId="0" fontId="14" numFmtId="0" xfId="0" applyAlignment="1" applyBorder="1" applyFont="1">
      <alignment horizontal="center" readingOrder="0"/>
    </xf>
    <xf borderId="25" fillId="0" fontId="16" numFmtId="0" xfId="0" applyBorder="1" applyFont="1"/>
    <xf borderId="24" fillId="0" fontId="14" numFmtId="0" xfId="0" applyAlignment="1" applyBorder="1" applyFont="1">
      <alignment horizontal="center" readingOrder="0" vertical="center"/>
    </xf>
    <xf borderId="23" fillId="0" fontId="14" numFmtId="0" xfId="0" applyAlignment="1" applyBorder="1" applyFont="1">
      <alignment horizontal="center" readingOrder="0"/>
    </xf>
    <xf borderId="26" fillId="0" fontId="16" numFmtId="0" xfId="0" applyBorder="1" applyFont="1"/>
    <xf borderId="0" fillId="0" fontId="17" numFmtId="0" xfId="0" applyAlignment="1" applyFont="1">
      <alignment readingOrder="0"/>
    </xf>
    <xf borderId="0" fillId="0" fontId="17" numFmtId="0" xfId="0" applyAlignment="1" applyFont="1">
      <alignment horizontal="center" readingOrder="0" vertical="center"/>
    </xf>
    <xf borderId="0" fillId="0" fontId="14" numFmtId="0" xfId="0" applyAlignment="1" applyFont="1">
      <alignment horizontal="right" readingOrder="0" vertical="center"/>
    </xf>
    <xf borderId="0" fillId="0" fontId="14" numFmtId="0" xfId="0" applyAlignment="1" applyFont="1">
      <alignment horizontal="left" readingOrder="0"/>
    </xf>
    <xf borderId="0" fillId="0" fontId="17" numFmtId="0" xfId="0" applyAlignment="1" applyFont="1">
      <alignment horizontal="center" readingOrder="0"/>
    </xf>
    <xf borderId="0" fillId="0" fontId="14" numFmtId="0" xfId="0" applyAlignment="1" applyFont="1">
      <alignment horizontal="right" readingOrder="0"/>
    </xf>
    <xf borderId="0" fillId="0" fontId="17" numFmtId="0" xfId="0" applyFont="1"/>
    <xf borderId="0" fillId="0" fontId="14" numFmtId="0" xfId="0" applyFont="1"/>
    <xf borderId="1" fillId="0" fontId="14" numFmtId="0" xfId="0" applyAlignment="1" applyBorder="1" applyFont="1">
      <alignment readingOrder="0"/>
    </xf>
    <xf borderId="9" fillId="0" fontId="14" numFmtId="0" xfId="0" applyAlignment="1" applyBorder="1" applyFont="1">
      <alignment readingOrder="0"/>
    </xf>
    <xf borderId="7" fillId="0" fontId="14" numFmtId="49" xfId="0" applyAlignment="1" applyBorder="1" applyFont="1" applyNumberFormat="1">
      <alignment horizontal="center" readingOrder="0" vertical="center"/>
    </xf>
    <xf borderId="1" fillId="0" fontId="14" numFmtId="0" xfId="0" applyAlignment="1" applyBorder="1" applyFont="1">
      <alignment horizontal="center" readingOrder="0" vertical="top"/>
    </xf>
    <xf borderId="9" fillId="0" fontId="14" numFmtId="0" xfId="0" applyAlignment="1" applyBorder="1" applyFont="1">
      <alignment horizontal="center" readingOrder="0" vertical="top"/>
    </xf>
    <xf borderId="1" fillId="0" fontId="14" numFmtId="0" xfId="0" applyAlignment="1" applyBorder="1" applyFont="1">
      <alignment readingOrder="0" vertical="top"/>
    </xf>
    <xf borderId="9" fillId="0" fontId="14" numFmtId="0" xfId="0" applyAlignment="1" applyBorder="1" applyFont="1">
      <alignment readingOrder="0" vertical="top"/>
    </xf>
    <xf borderId="1" fillId="0" fontId="14" numFmtId="0" xfId="0" applyAlignment="1" applyBorder="1" applyFont="1">
      <alignment vertical="top"/>
    </xf>
    <xf borderId="7" fillId="0" fontId="1" numFmtId="0" xfId="0" applyAlignment="1" applyBorder="1" applyFont="1">
      <alignment horizontal="center" vertical="center"/>
    </xf>
    <xf borderId="9" fillId="0" fontId="14" numFmtId="0" xfId="0" applyAlignment="1" applyBorder="1" applyFont="1">
      <alignment horizontal="center" readingOrder="0" vertical="center"/>
    </xf>
    <xf borderId="1" fillId="0" fontId="14" numFmtId="0" xfId="0" applyAlignment="1" applyBorder="1" applyFont="1">
      <alignment horizontal="center" readingOrder="0" vertical="center"/>
    </xf>
    <xf borderId="0" fillId="0" fontId="14" numFmtId="0" xfId="0" applyAlignment="1" applyFont="1">
      <alignment horizontal="center" vertical="center"/>
    </xf>
    <xf borderId="1" fillId="0" fontId="14" numFmtId="49" xfId="0" applyAlignment="1" applyBorder="1" applyFont="1" applyNumberFormat="1">
      <alignment horizontal="center" readingOrder="0" vertical="center"/>
    </xf>
    <xf borderId="1" fillId="0" fontId="14" numFmtId="164" xfId="0" applyAlignment="1" applyBorder="1" applyFont="1" applyNumberFormat="1">
      <alignment horizontal="center"/>
    </xf>
    <xf borderId="1" fillId="0" fontId="14" numFmtId="164" xfId="0" applyAlignment="1" applyBorder="1" applyFont="1" applyNumberFormat="1">
      <alignment horizontal="center" vertical="center"/>
    </xf>
    <xf borderId="1" fillId="0" fontId="1" numFmtId="49" xfId="0" applyAlignment="1" applyBorder="1" applyFont="1" applyNumberFormat="1">
      <alignment horizontal="center"/>
    </xf>
    <xf borderId="1" fillId="0" fontId="1" numFmtId="0" xfId="0" applyAlignment="1" applyBorder="1" applyFont="1">
      <alignment horizontal="center" vertical="bottom"/>
    </xf>
    <xf borderId="1" fillId="0" fontId="1" numFmtId="0" xfId="0" applyAlignment="1" applyBorder="1" applyFont="1">
      <alignment horizontal="center"/>
    </xf>
    <xf borderId="1" fillId="0" fontId="1" numFmtId="164" xfId="0" applyAlignment="1" applyBorder="1" applyFont="1" applyNumberFormat="1">
      <alignment horizontal="center" vertical="bottom"/>
    </xf>
    <xf borderId="1" fillId="0" fontId="14" numFmtId="0" xfId="0" applyAlignment="1" applyBorder="1" applyFont="1">
      <alignment horizontal="center"/>
    </xf>
    <xf borderId="1" fillId="0" fontId="14" numFmtId="9" xfId="0" applyAlignment="1" applyBorder="1" applyFont="1" applyNumberFormat="1">
      <alignment horizontal="center" readingOrder="0" vertical="center"/>
    </xf>
    <xf borderId="1" fillId="0" fontId="14"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962025</xdr:colOff>
      <xdr:row>2</xdr:row>
      <xdr:rowOff>190500</xdr:rowOff>
    </xdr:from>
    <xdr:ext cx="981075" cy="209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rxiv.org/abs/2006.04884" TargetMode="External"/><Relationship Id="rId20" Type="http://schemas.openxmlformats.org/officeDocument/2006/relationships/hyperlink" Target="https://www.mdpi.com/2079-9292/13/13/2535" TargetMode="External"/><Relationship Id="rId42" Type="http://schemas.openxmlformats.org/officeDocument/2006/relationships/hyperlink" Target="https://www.researchgate.net/publication/388053939_A_Systematic_Literature_Review_of_BERT-based_Models_for_Natural_Language_Processing_Tasks" TargetMode="External"/><Relationship Id="rId41" Type="http://schemas.openxmlformats.org/officeDocument/2006/relationships/hyperlink" Target="https://www.mdpi.com/2078-2489/16/11/981" TargetMode="External"/><Relationship Id="rId22" Type="http://schemas.openxmlformats.org/officeDocument/2006/relationships/hyperlink" Target="https://jtiik.ub.ac.id/index.php/jtiik/article/view/7082" TargetMode="External"/><Relationship Id="rId21" Type="http://schemas.openxmlformats.org/officeDocument/2006/relationships/hyperlink" Target="https://jtiik.ub.ac.id/index.php/jtiik/article/view/7325" TargetMode="External"/><Relationship Id="rId43" Type="http://schemas.openxmlformats.org/officeDocument/2006/relationships/drawing" Target="../drawings/drawing1.xml"/><Relationship Id="rId24" Type="http://schemas.openxmlformats.org/officeDocument/2006/relationships/hyperlink" Target="https://ojs.unikom.ac.id/index.php/komputa/article/view/15339" TargetMode="External"/><Relationship Id="rId23" Type="http://schemas.openxmlformats.org/officeDocument/2006/relationships/hyperlink" Target="https://www.researchgate.net/publication/392433012_Study_of_the_Application_of_Text_Augmentation_with_Paraphrasing_to_Overcome_Imbalanced_Data_in_Indonesian_Text_Classification" TargetMode="External"/><Relationship Id="rId1" Type="http://schemas.openxmlformats.org/officeDocument/2006/relationships/hyperlink" Target="https://drive.google.com/drive/folders/1Dgyk5reNdAo1u3u7Wwvmd1EH0xPALtGx" TargetMode="External"/><Relationship Id="rId2" Type="http://schemas.openxmlformats.org/officeDocument/2006/relationships/hyperlink" Target="https://arxiv.org/abs/1901.11196" TargetMode="External"/><Relationship Id="rId3" Type="http://schemas.openxmlformats.org/officeDocument/2006/relationships/hyperlink" Target="https://arxiv.org/abs/1106.1813" TargetMode="External"/><Relationship Id="rId4" Type="http://schemas.openxmlformats.org/officeDocument/2006/relationships/hyperlink" Target="https://arxiv.org/abs/1805.06201" TargetMode="External"/><Relationship Id="rId9" Type="http://schemas.openxmlformats.org/officeDocument/2006/relationships/hyperlink" Target="https://huggingface.co/Wikidepia/IndoT5-base-paraphrase" TargetMode="External"/><Relationship Id="rId26" Type="http://schemas.openxmlformats.org/officeDocument/2006/relationships/hyperlink" Target="https://aclanthology.org/2023.eacl-main.38.pdf" TargetMode="External"/><Relationship Id="rId25" Type="http://schemas.openxmlformats.org/officeDocument/2006/relationships/hyperlink" Target="https://link.springer.com/article/10.1186/s40537-019-0192-5" TargetMode="External"/><Relationship Id="rId28" Type="http://schemas.openxmlformats.org/officeDocument/2006/relationships/hyperlink" Target="https://www.researchgate.net/publication/374608193_Applying_Natural_Language_Processing_to_Single-Report_Prediction_of_Metastatic_Disease_Response_Using_the_OR-RADS_Lexicon" TargetMode="External"/><Relationship Id="rId27" Type="http://schemas.openxmlformats.org/officeDocument/2006/relationships/hyperlink" Target="https://www.ijcaonline.org/archives/volume186/number2/helmy-2024-ijca-923346.pdf" TargetMode="External"/><Relationship Id="rId5" Type="http://schemas.openxmlformats.org/officeDocument/2006/relationships/hyperlink" Target="https://arxiv.org/abs/1511.06709" TargetMode="External"/><Relationship Id="rId6" Type="http://schemas.openxmlformats.org/officeDocument/2006/relationships/hyperlink" Target="https://aclanthology.org/P17-2090/" TargetMode="External"/><Relationship Id="rId29" Type="http://schemas.openxmlformats.org/officeDocument/2006/relationships/hyperlink" Target="https://www.mdpi.com/2224-2708/14/5/100" TargetMode="External"/><Relationship Id="rId7" Type="http://schemas.openxmlformats.org/officeDocument/2006/relationships/hyperlink" Target="https://github.com/makcedward/nlpaug" TargetMode="External"/><Relationship Id="rId8" Type="http://schemas.openxmlformats.org/officeDocument/2006/relationships/hyperlink" Target="https://arxiv.org/abs/1805.06201" TargetMode="External"/><Relationship Id="rId31" Type="http://schemas.openxmlformats.org/officeDocument/2006/relationships/hyperlink" Target="https://pmc.ncbi.nlm.nih.gov/articles/PMC12886981/" TargetMode="External"/><Relationship Id="rId30" Type="http://schemas.openxmlformats.org/officeDocument/2006/relationships/hyperlink" Target="https://www.researchgate.net/publication/392650107_Logistic_Regression_and_Naive_Bayes_Comparison_in_Classifying_Emotions_on_Indonesian_X_Social_Media" TargetMode="External"/><Relationship Id="rId11" Type="http://schemas.openxmlformats.org/officeDocument/2006/relationships/hyperlink" Target="https://link.springer.com/article/10.1007/s13278-025-01439-6?utm_source=chatgpt.com" TargetMode="External"/><Relationship Id="rId33" Type="http://schemas.openxmlformats.org/officeDocument/2006/relationships/hyperlink" Target="https://www.datasciencebase.com/supervised-ml/optimization-tuning/tuning-for-decision-trees-svms-other-algorithms" TargetMode="External"/><Relationship Id="rId10" Type="http://schemas.openxmlformats.org/officeDocument/2006/relationships/hyperlink" Target="https://arxiv.org/abs/1910.13461" TargetMode="External"/><Relationship Id="rId32" Type="http://schemas.openxmlformats.org/officeDocument/2006/relationships/hyperlink" Target="https://www.sciencedirect.com/science/article/pii/S2665917423002611?" TargetMode="External"/><Relationship Id="rId13" Type="http://schemas.openxmlformats.org/officeDocument/2006/relationships/hyperlink" Target="https://arxiv.org/abs/2009.05720?utm_source=chatgpt.com" TargetMode="External"/><Relationship Id="rId35" Type="http://schemas.openxmlformats.org/officeDocument/2006/relationships/hyperlink" Target="https://www.mdpi.com/2072-4292/15/8/2076" TargetMode="External"/><Relationship Id="rId12" Type="http://schemas.openxmlformats.org/officeDocument/2006/relationships/hyperlink" Target="https://www.researchgate.net/publication/387730782_Performance_Analysis_of_IndoBERT_for_Sentiment_Classification_in_Indonesian_Hotel_Review_Data?utm_source=chatgpt.com" TargetMode="External"/><Relationship Id="rId34" Type="http://schemas.openxmlformats.org/officeDocument/2006/relationships/hyperlink" Target="https://theaspd.com/index.php/ijes/article/view/873" TargetMode="External"/><Relationship Id="rId15" Type="http://schemas.openxmlformats.org/officeDocument/2006/relationships/hyperlink" Target="https://link.springer.com/article/10.1007/s00521-022-08186-1?utm_source=chatgpt.com" TargetMode="External"/><Relationship Id="rId37" Type="http://schemas.openxmlformats.org/officeDocument/2006/relationships/hyperlink" Target="https://umpir.ump.edu.my/id/eprint/45978/" TargetMode="External"/><Relationship Id="rId14" Type="http://schemas.openxmlformats.org/officeDocument/2006/relationships/hyperlink" Target="https://www.researchgate.net/publication/384683760_Indonesian_Fake_News_Classification_Using_Transfer_Learning_in_CNN_and_LSTM" TargetMode="External"/><Relationship Id="rId36" Type="http://schemas.openxmlformats.org/officeDocument/2006/relationships/hyperlink" Target="https://scholar.its.ac.id/en/publications/enhancing-lstm-based-models-for-electricity-consumption-forecasti/" TargetMode="External"/><Relationship Id="rId17" Type="http://schemas.openxmlformats.org/officeDocument/2006/relationships/hyperlink" Target="https://arxiv.org/abs/1901.11196" TargetMode="External"/><Relationship Id="rId39" Type="http://schemas.openxmlformats.org/officeDocument/2006/relationships/hyperlink" Target="https://arxiv.org/pdf/1810.04805" TargetMode="External"/><Relationship Id="rId16" Type="http://schemas.openxmlformats.org/officeDocument/2006/relationships/hyperlink" Target="https://www.researchgate.net/publication/363099952_Implementation_of_Stacking_Ensemble_Classifier_for_Multi-class_Classification_of_COVID-19_Vaccines_Topics_on_Twitter" TargetMode="External"/><Relationship Id="rId38" Type="http://schemas.openxmlformats.org/officeDocument/2006/relationships/hyperlink" Target="https://scik.org/index.php/cmbn/article/viewFile/9006/4176" TargetMode="External"/><Relationship Id="rId19" Type="http://schemas.openxmlformats.org/officeDocument/2006/relationships/hyperlink" Target="https://www.sciencedirect.com/science/article/pii/S2949719124000190" TargetMode="External"/><Relationship Id="rId18" Type="http://schemas.openxmlformats.org/officeDocument/2006/relationships/hyperlink" Target="https://arxiv.org/abs/2205.1098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abs/1805.09843" TargetMode="External"/><Relationship Id="rId2" Type="http://schemas.openxmlformats.org/officeDocument/2006/relationships/hyperlink" Target="https://etd.repository.ugm.ac.id/penelitian/detail/192420" TargetMode="External"/><Relationship Id="rId3" Type="http://schemas.openxmlformats.org/officeDocument/2006/relationships/hyperlink" Target="https://www.researchgate.net/publication/358051179_Research_of_Text_Classification_Based_on_TF-IDF_and_CNN-LSTM" TargetMode="External"/><Relationship Id="rId4" Type="http://schemas.openxmlformats.org/officeDocument/2006/relationships/hyperlink" Target="https://journal.unilak.ac.id/index.php/zn/article/view/24779" TargetMode="External"/><Relationship Id="rId5" Type="http://schemas.openxmlformats.org/officeDocument/2006/relationships/hyperlink" Target="https://www.sciencedirect.com/science/article/abs/pii/S0167865520300817"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75"/>
    <col customWidth="1" min="2" max="2" width="37.0"/>
    <col customWidth="1" min="3" max="3" width="29.38"/>
    <col customWidth="1" min="4" max="6" width="12.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2" t="s">
        <v>0</v>
      </c>
      <c r="B2" s="1"/>
      <c r="C2" s="1"/>
      <c r="D2" s="1"/>
      <c r="E2" s="1"/>
      <c r="F2" s="1"/>
      <c r="G2" s="1"/>
      <c r="H2" s="1"/>
      <c r="I2" s="1"/>
      <c r="J2" s="1"/>
      <c r="K2" s="1"/>
      <c r="L2" s="1"/>
      <c r="M2" s="1"/>
      <c r="N2" s="1"/>
      <c r="O2" s="1"/>
      <c r="P2" s="1"/>
      <c r="Q2" s="1"/>
      <c r="R2" s="1"/>
      <c r="S2" s="1"/>
      <c r="T2" s="1"/>
      <c r="U2" s="1"/>
      <c r="V2" s="1"/>
      <c r="W2" s="1"/>
      <c r="X2" s="1"/>
      <c r="Y2" s="1"/>
      <c r="Z2" s="1"/>
    </row>
    <row r="3" ht="15.75" customHeight="1">
      <c r="A3" s="3"/>
      <c r="B3" s="1"/>
      <c r="C3" s="1"/>
      <c r="D3" s="1"/>
      <c r="E3" s="1"/>
      <c r="F3" s="1"/>
      <c r="G3" s="1"/>
      <c r="H3" s="1"/>
      <c r="I3" s="1"/>
      <c r="J3" s="1"/>
      <c r="K3" s="1"/>
      <c r="L3" s="1"/>
      <c r="M3" s="1"/>
      <c r="N3" s="1"/>
      <c r="O3" s="1"/>
      <c r="P3" s="1"/>
      <c r="Q3" s="1"/>
      <c r="R3" s="1"/>
      <c r="S3" s="1"/>
      <c r="T3" s="1"/>
      <c r="U3" s="1"/>
      <c r="V3" s="1"/>
      <c r="W3" s="1"/>
      <c r="X3" s="1"/>
      <c r="Y3" s="1"/>
      <c r="Z3" s="1"/>
    </row>
    <row r="4" ht="15.75" customHeight="1">
      <c r="A4" s="4" t="s">
        <v>1</v>
      </c>
      <c r="B4" s="1"/>
      <c r="C4" s="1"/>
      <c r="D4" s="1"/>
      <c r="E4" s="1"/>
      <c r="F4" s="1"/>
      <c r="G4" s="1"/>
      <c r="H4" s="1"/>
      <c r="I4" s="1"/>
      <c r="J4" s="1"/>
      <c r="K4" s="1"/>
      <c r="L4" s="1"/>
      <c r="M4" s="1"/>
      <c r="N4" s="1"/>
      <c r="O4" s="1"/>
      <c r="P4" s="1"/>
      <c r="Q4" s="1"/>
      <c r="R4" s="1"/>
      <c r="S4" s="1"/>
      <c r="T4" s="1"/>
      <c r="U4" s="1"/>
      <c r="V4" s="1"/>
      <c r="W4" s="1"/>
      <c r="X4" s="1"/>
      <c r="Y4" s="1"/>
      <c r="Z4" s="1"/>
    </row>
    <row r="5" ht="15.75" customHeight="1">
      <c r="A5" s="5" t="s">
        <v>2</v>
      </c>
      <c r="B5" s="1"/>
      <c r="C5" s="1"/>
      <c r="D5" s="1"/>
      <c r="E5" s="1"/>
      <c r="F5" s="1"/>
      <c r="G5" s="1"/>
      <c r="H5" s="1"/>
      <c r="I5" s="1"/>
      <c r="J5" s="1"/>
      <c r="K5" s="1"/>
      <c r="L5" s="1"/>
      <c r="M5" s="1"/>
      <c r="N5" s="1"/>
      <c r="O5" s="1"/>
      <c r="P5" s="1"/>
      <c r="Q5" s="1"/>
      <c r="R5" s="1"/>
      <c r="S5" s="1"/>
      <c r="T5" s="1"/>
      <c r="U5" s="1"/>
      <c r="V5" s="1"/>
      <c r="W5" s="1"/>
      <c r="X5" s="1"/>
      <c r="Y5" s="1"/>
      <c r="Z5" s="1"/>
    </row>
    <row r="6" ht="15.75" customHeight="1">
      <c r="A6" s="3"/>
      <c r="B6" s="1"/>
      <c r="C6" s="1"/>
      <c r="D6" s="1"/>
      <c r="E6" s="1"/>
      <c r="F6" s="1"/>
      <c r="G6" s="1"/>
      <c r="H6" s="1"/>
      <c r="I6" s="1"/>
      <c r="J6" s="1"/>
      <c r="K6" s="1"/>
      <c r="L6" s="1"/>
      <c r="M6" s="1"/>
      <c r="N6" s="1"/>
      <c r="O6" s="1"/>
      <c r="P6" s="1"/>
      <c r="Q6" s="1"/>
      <c r="R6" s="1"/>
      <c r="S6" s="1"/>
      <c r="T6" s="1"/>
      <c r="U6" s="1"/>
      <c r="V6" s="1"/>
      <c r="W6" s="1"/>
      <c r="X6" s="1"/>
      <c r="Y6" s="1"/>
      <c r="Z6" s="1"/>
    </row>
    <row r="7" ht="15.75" customHeight="1">
      <c r="A7" s="6" t="s">
        <v>3</v>
      </c>
      <c r="B7" s="1"/>
      <c r="C7" s="1"/>
      <c r="D7" s="1"/>
      <c r="E7" s="1"/>
      <c r="F7" s="1"/>
      <c r="G7" s="1"/>
      <c r="H7" s="1"/>
      <c r="I7" s="1"/>
      <c r="J7" s="1"/>
      <c r="K7" s="1"/>
      <c r="L7" s="1"/>
      <c r="M7" s="1"/>
      <c r="N7" s="1"/>
      <c r="O7" s="1"/>
      <c r="P7" s="1"/>
      <c r="Q7" s="1"/>
      <c r="R7" s="1"/>
      <c r="S7" s="1"/>
      <c r="T7" s="1"/>
      <c r="U7" s="1"/>
      <c r="V7" s="1"/>
      <c r="W7" s="1"/>
      <c r="X7" s="1"/>
      <c r="Y7" s="1"/>
      <c r="Z7" s="1"/>
    </row>
    <row r="8" ht="15.75" customHeight="1">
      <c r="A8" s="4" t="s">
        <v>4</v>
      </c>
      <c r="B8" s="1"/>
      <c r="C8" s="1"/>
      <c r="D8" s="1"/>
      <c r="E8" s="1"/>
      <c r="F8" s="1"/>
      <c r="G8" s="1"/>
      <c r="H8" s="1"/>
      <c r="I8" s="1"/>
      <c r="J8" s="1"/>
      <c r="K8" s="1"/>
      <c r="L8" s="1"/>
      <c r="M8" s="1"/>
      <c r="N8" s="1"/>
      <c r="O8" s="1"/>
      <c r="P8" s="1"/>
      <c r="Q8" s="1"/>
      <c r="R8" s="1"/>
      <c r="S8" s="1"/>
      <c r="T8" s="1"/>
      <c r="U8" s="1"/>
      <c r="V8" s="1"/>
      <c r="W8" s="1"/>
      <c r="X8" s="1"/>
      <c r="Y8" s="1"/>
      <c r="Z8" s="1"/>
    </row>
    <row r="9" ht="15.75" customHeight="1">
      <c r="A9" s="4" t="s">
        <v>5</v>
      </c>
      <c r="B9" s="1"/>
      <c r="C9" s="1"/>
      <c r="D9" s="1"/>
      <c r="E9" s="1"/>
      <c r="F9" s="1"/>
      <c r="G9" s="1"/>
      <c r="H9" s="1"/>
      <c r="I9" s="1"/>
      <c r="J9" s="1"/>
      <c r="K9" s="1"/>
      <c r="L9" s="1"/>
      <c r="M9" s="1"/>
      <c r="N9" s="1"/>
      <c r="O9" s="1"/>
      <c r="P9" s="1"/>
      <c r="Q9" s="1"/>
      <c r="R9" s="1"/>
      <c r="S9" s="1"/>
      <c r="T9" s="1"/>
      <c r="U9" s="1"/>
      <c r="V9" s="1"/>
      <c r="W9" s="1"/>
      <c r="X9" s="1"/>
      <c r="Y9" s="1"/>
      <c r="Z9" s="1"/>
    </row>
    <row r="10" ht="15.75" customHeight="1">
      <c r="A10" s="7" t="s">
        <v>6</v>
      </c>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3"/>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3"/>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6" t="s">
        <v>7</v>
      </c>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4" t="s">
        <v>8</v>
      </c>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4" t="s">
        <v>9</v>
      </c>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4" t="s">
        <v>10</v>
      </c>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4" t="s">
        <v>11</v>
      </c>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4" t="s">
        <v>12</v>
      </c>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4" t="s">
        <v>13</v>
      </c>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8" t="s">
        <v>14</v>
      </c>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4" t="s">
        <v>15</v>
      </c>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8" t="s">
        <v>16</v>
      </c>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8" t="s">
        <v>17</v>
      </c>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4" t="s">
        <v>18</v>
      </c>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8" t="s">
        <v>19</v>
      </c>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8" t="s">
        <v>20</v>
      </c>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4" t="s">
        <v>21</v>
      </c>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8" t="s">
        <v>22</v>
      </c>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8" t="s">
        <v>23</v>
      </c>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4" t="s">
        <v>24</v>
      </c>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8" t="s">
        <v>25</v>
      </c>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8" t="s">
        <v>26</v>
      </c>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9" t="s">
        <v>27</v>
      </c>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4" t="s">
        <v>28</v>
      </c>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8" t="s">
        <v>29</v>
      </c>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8" t="s">
        <v>30</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4" t="s">
        <v>31</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8" t="s">
        <v>32</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8" t="s">
        <v>33</v>
      </c>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8" t="s">
        <v>34</v>
      </c>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3"/>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4" t="s">
        <v>35</v>
      </c>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4" t="s">
        <v>36</v>
      </c>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4" t="s">
        <v>37</v>
      </c>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4" t="s">
        <v>38</v>
      </c>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4" t="s">
        <v>39</v>
      </c>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4" t="s">
        <v>40</v>
      </c>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4" t="s">
        <v>41</v>
      </c>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4" t="s">
        <v>38</v>
      </c>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8" t="s">
        <v>42</v>
      </c>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3"/>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6" t="s">
        <v>43</v>
      </c>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4" t="s">
        <v>44</v>
      </c>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8" t="s">
        <v>45</v>
      </c>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3"/>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4" t="s">
        <v>46</v>
      </c>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0" t="s">
        <v>47</v>
      </c>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1" t="s">
        <v>48</v>
      </c>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0" t="s">
        <v>49</v>
      </c>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4" t="s">
        <v>50</v>
      </c>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8" t="s">
        <v>51</v>
      </c>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3"/>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4" t="s">
        <v>52</v>
      </c>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8" t="s">
        <v>53</v>
      </c>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3"/>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4" t="s">
        <v>54</v>
      </c>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8" t="s">
        <v>55</v>
      </c>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3"/>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4" t="s">
        <v>56</v>
      </c>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8" t="s">
        <v>57</v>
      </c>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3"/>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4" t="s">
        <v>58</v>
      </c>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8" t="s">
        <v>59</v>
      </c>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3"/>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4" t="s">
        <v>60</v>
      </c>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8" t="s">
        <v>61</v>
      </c>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8" t="s">
        <v>62</v>
      </c>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3"/>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2" t="s">
        <v>63</v>
      </c>
      <c r="B82" s="13" t="s">
        <v>64</v>
      </c>
      <c r="C82" s="13" t="s">
        <v>65</v>
      </c>
      <c r="D82" s="1"/>
      <c r="E82" s="1"/>
      <c r="F82" s="1"/>
      <c r="G82" s="1"/>
      <c r="H82" s="1"/>
      <c r="I82" s="1"/>
      <c r="J82" s="1"/>
      <c r="K82" s="1"/>
      <c r="L82" s="1"/>
      <c r="M82" s="1"/>
      <c r="N82" s="1"/>
      <c r="O82" s="1"/>
      <c r="P82" s="1"/>
      <c r="Q82" s="1"/>
      <c r="R82" s="1"/>
      <c r="S82" s="1"/>
      <c r="T82" s="1"/>
      <c r="U82" s="1"/>
      <c r="V82" s="1"/>
      <c r="W82" s="1"/>
      <c r="X82" s="1"/>
      <c r="Y82" s="1"/>
      <c r="Z82" s="1"/>
    </row>
    <row r="83" ht="15.75" customHeight="1">
      <c r="A83" s="14" t="s">
        <v>66</v>
      </c>
      <c r="B83" s="13" t="s">
        <v>67</v>
      </c>
      <c r="C83" s="15" t="s">
        <v>68</v>
      </c>
      <c r="D83" s="1"/>
      <c r="E83" s="1"/>
      <c r="F83" s="1"/>
      <c r="G83" s="1"/>
      <c r="H83" s="1"/>
      <c r="I83" s="1"/>
      <c r="J83" s="1"/>
      <c r="K83" s="1"/>
      <c r="L83" s="1"/>
      <c r="M83" s="1"/>
      <c r="N83" s="1"/>
      <c r="O83" s="1"/>
      <c r="P83" s="1"/>
      <c r="Q83" s="1"/>
      <c r="R83" s="1"/>
      <c r="S83" s="1"/>
      <c r="T83" s="1"/>
      <c r="U83" s="1"/>
      <c r="V83" s="1"/>
      <c r="W83" s="1"/>
      <c r="X83" s="1"/>
      <c r="Y83" s="1"/>
      <c r="Z83" s="1"/>
    </row>
    <row r="84" ht="15.75" customHeight="1">
      <c r="A84" s="14" t="s">
        <v>69</v>
      </c>
      <c r="B84" s="13" t="s">
        <v>70</v>
      </c>
      <c r="C84" s="15" t="s">
        <v>71</v>
      </c>
      <c r="D84" s="1"/>
      <c r="E84" s="1"/>
      <c r="F84" s="1"/>
      <c r="G84" s="1"/>
      <c r="H84" s="1"/>
      <c r="I84" s="1"/>
      <c r="J84" s="1"/>
      <c r="K84" s="1"/>
      <c r="L84" s="1"/>
      <c r="M84" s="1"/>
      <c r="N84" s="1"/>
      <c r="O84" s="1"/>
      <c r="P84" s="1"/>
      <c r="Q84" s="1"/>
      <c r="R84" s="1"/>
      <c r="S84" s="1"/>
      <c r="T84" s="1"/>
      <c r="U84" s="1"/>
      <c r="V84" s="1"/>
      <c r="W84" s="1"/>
      <c r="X84" s="1"/>
      <c r="Y84" s="1"/>
      <c r="Z84" s="1"/>
    </row>
    <row r="85" ht="15.75" customHeight="1">
      <c r="A85" s="14" t="s">
        <v>72</v>
      </c>
      <c r="B85" s="13" t="s">
        <v>73</v>
      </c>
      <c r="C85" s="15" t="s">
        <v>74</v>
      </c>
      <c r="D85" s="1"/>
      <c r="E85" s="1"/>
      <c r="F85" s="1"/>
      <c r="G85" s="1"/>
      <c r="H85" s="1"/>
      <c r="I85" s="1"/>
      <c r="J85" s="1"/>
      <c r="K85" s="1"/>
      <c r="L85" s="1"/>
      <c r="M85" s="1"/>
      <c r="N85" s="1"/>
      <c r="O85" s="1"/>
      <c r="P85" s="1"/>
      <c r="Q85" s="1"/>
      <c r="R85" s="1"/>
      <c r="S85" s="1"/>
      <c r="T85" s="1"/>
      <c r="U85" s="1"/>
      <c r="V85" s="1"/>
      <c r="W85" s="1"/>
      <c r="X85" s="1"/>
      <c r="Y85" s="1"/>
      <c r="Z85" s="1"/>
    </row>
    <row r="86" ht="15.75" customHeight="1">
      <c r="A86" s="14" t="s">
        <v>75</v>
      </c>
      <c r="B86" s="13" t="s">
        <v>76</v>
      </c>
      <c r="C86" s="15" t="s">
        <v>77</v>
      </c>
      <c r="D86" s="1"/>
      <c r="E86" s="1"/>
      <c r="F86" s="1"/>
      <c r="G86" s="1"/>
      <c r="H86" s="1"/>
      <c r="I86" s="1"/>
      <c r="J86" s="1"/>
      <c r="K86" s="1"/>
      <c r="L86" s="1"/>
      <c r="M86" s="1"/>
      <c r="N86" s="1"/>
      <c r="O86" s="1"/>
      <c r="P86" s="1"/>
      <c r="Q86" s="1"/>
      <c r="R86" s="1"/>
      <c r="S86" s="1"/>
      <c r="T86" s="1"/>
      <c r="U86" s="1"/>
      <c r="V86" s="1"/>
      <c r="W86" s="1"/>
      <c r="X86" s="1"/>
      <c r="Y86" s="1"/>
      <c r="Z86" s="1"/>
    </row>
    <row r="87" ht="15.75" customHeight="1">
      <c r="A87" s="3"/>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6" t="s">
        <v>78</v>
      </c>
      <c r="B88" s="17" t="s">
        <v>79</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D89" s="1"/>
      <c r="E89" s="1"/>
      <c r="F89" s="1"/>
      <c r="G89" s="1"/>
      <c r="H89" s="1"/>
      <c r="I89" s="1"/>
      <c r="J89" s="1"/>
      <c r="K89" s="1"/>
      <c r="L89" s="1"/>
      <c r="M89" s="1"/>
      <c r="N89" s="1"/>
      <c r="O89" s="1"/>
      <c r="P89" s="1"/>
      <c r="Q89" s="1"/>
      <c r="R89" s="1"/>
      <c r="S89" s="1"/>
      <c r="T89" s="1"/>
      <c r="U89" s="1"/>
      <c r="V89" s="1"/>
      <c r="W89" s="1"/>
      <c r="X89" s="1"/>
      <c r="Y89" s="1"/>
      <c r="Z89" s="1"/>
    </row>
    <row r="90" ht="15.75" customHeight="1">
      <c r="A90" s="6" t="s">
        <v>80</v>
      </c>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3" t="s">
        <v>81</v>
      </c>
      <c r="B91" s="18" t="s">
        <v>82</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3" t="s">
        <v>81</v>
      </c>
      <c r="B92" s="18" t="s">
        <v>83</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3" t="s">
        <v>84</v>
      </c>
      <c r="B93" s="18" t="s">
        <v>85</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9" t="s">
        <v>86</v>
      </c>
      <c r="B94" s="17" t="s">
        <v>87</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9" t="s">
        <v>86</v>
      </c>
      <c r="B95" s="17" t="s">
        <v>88</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9" t="s">
        <v>86</v>
      </c>
      <c r="B96" s="17" t="s">
        <v>89</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9" t="s">
        <v>86</v>
      </c>
      <c r="B97" s="20" t="s">
        <v>90</v>
      </c>
      <c r="D97" s="1"/>
      <c r="E97" s="1"/>
      <c r="F97" s="1"/>
      <c r="G97" s="1"/>
      <c r="H97" s="1"/>
      <c r="I97" s="1"/>
      <c r="J97" s="1"/>
      <c r="K97" s="1"/>
      <c r="L97" s="1"/>
      <c r="M97" s="1"/>
      <c r="N97" s="1"/>
      <c r="O97" s="1"/>
      <c r="P97" s="1"/>
      <c r="Q97" s="1"/>
      <c r="R97" s="1"/>
      <c r="S97" s="1"/>
      <c r="T97" s="1"/>
      <c r="U97" s="1"/>
      <c r="V97" s="1"/>
      <c r="W97" s="1"/>
      <c r="X97" s="1"/>
      <c r="Y97" s="1"/>
      <c r="Z97" s="1"/>
    </row>
    <row r="98" ht="15.75" customHeight="1">
      <c r="A98" s="16" t="s">
        <v>91</v>
      </c>
      <c r="B98" s="17" t="s">
        <v>92</v>
      </c>
      <c r="C98" s="19" t="s">
        <v>93</v>
      </c>
      <c r="D98" s="1"/>
      <c r="E98" s="1"/>
      <c r="F98" s="1"/>
      <c r="G98" s="1"/>
      <c r="H98" s="1"/>
      <c r="I98" s="1"/>
      <c r="J98" s="1"/>
      <c r="K98" s="1"/>
      <c r="L98" s="1"/>
      <c r="M98" s="1"/>
      <c r="N98" s="1"/>
      <c r="O98" s="1"/>
      <c r="P98" s="1"/>
      <c r="Q98" s="1"/>
      <c r="R98" s="1"/>
      <c r="S98" s="1"/>
      <c r="T98" s="1"/>
      <c r="U98" s="1"/>
      <c r="V98" s="1"/>
      <c r="W98" s="1"/>
      <c r="X98" s="1"/>
      <c r="Y98" s="1"/>
      <c r="Z98" s="1"/>
    </row>
    <row r="99" ht="15.75" customHeight="1">
      <c r="A99" s="16" t="s">
        <v>91</v>
      </c>
      <c r="B99" s="17" t="s">
        <v>94</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6" t="s">
        <v>91</v>
      </c>
      <c r="B100" s="17" t="s">
        <v>95</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6" t="s">
        <v>91</v>
      </c>
      <c r="B101" s="17" t="s">
        <v>96</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A5"/>
    <hyperlink r:id="rId2" ref="A20"/>
    <hyperlink r:id="rId3" ref="A22"/>
    <hyperlink r:id="rId4" ref="A23"/>
    <hyperlink r:id="rId5" ref="A25"/>
    <hyperlink r:id="rId6" ref="A26"/>
    <hyperlink r:id="rId7" ref="A28"/>
    <hyperlink r:id="rId8" ref="A29"/>
    <hyperlink r:id="rId9" ref="A31"/>
    <hyperlink r:id="rId10" ref="A32"/>
    <hyperlink r:id="rId11" ref="A35"/>
    <hyperlink r:id="rId12" ref="A36"/>
    <hyperlink r:id="rId13" ref="A39"/>
    <hyperlink r:id="rId14" ref="A40"/>
    <hyperlink r:id="rId15" ref="A41"/>
    <hyperlink r:id="rId16" ref="A51"/>
    <hyperlink r:id="rId17" ref="A55"/>
    <hyperlink r:id="rId18" ref="A58"/>
    <hyperlink r:id="rId19" ref="A61"/>
    <hyperlink r:id="rId20" ref="A64"/>
    <hyperlink r:id="rId21" ref="A67"/>
    <hyperlink r:id="rId22" ref="A70"/>
    <hyperlink r:id="rId23" ref="A73"/>
    <hyperlink r:id="rId24" ref="A76"/>
    <hyperlink r:id="rId25" ref="A79"/>
    <hyperlink r:id="rId26" ref="A80"/>
    <hyperlink r:id="rId27" ref="C83"/>
    <hyperlink r:id="rId28" ref="C84"/>
    <hyperlink r:id="rId29" ref="C85"/>
    <hyperlink r:id="rId30" ref="C86"/>
    <hyperlink r:id="rId31" ref="B88"/>
    <hyperlink r:id="rId32" ref="B91"/>
    <hyperlink r:id="rId33" ref="B92"/>
    <hyperlink r:id="rId34" ref="B93"/>
    <hyperlink r:id="rId35" ref="B94"/>
    <hyperlink r:id="rId36" ref="B95"/>
    <hyperlink r:id="rId37" ref="B96"/>
    <hyperlink r:id="rId38" ref="B97"/>
    <hyperlink r:id="rId39" ref="B98"/>
    <hyperlink r:id="rId40" ref="B99"/>
    <hyperlink r:id="rId41" ref="B100"/>
    <hyperlink r:id="rId42" ref="B101"/>
  </hyperlinks>
  <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23.0"/>
    <col customWidth="1" min="3" max="3" width="40.13"/>
    <col customWidth="1" min="4" max="4" width="29.25"/>
    <col customWidth="1" min="5" max="5" width="13.0"/>
    <col customWidth="1" min="6" max="6" width="13.38"/>
    <col customWidth="1" min="7" max="10" width="14.63"/>
    <col customWidth="1" min="11" max="12" width="14.0"/>
    <col customWidth="1" min="13" max="13" width="22.75"/>
    <col customWidth="1" min="14" max="14" width="21.5"/>
    <col customWidth="1" min="15" max="16" width="22.25"/>
    <col customWidth="1" min="17" max="17" width="6.88"/>
  </cols>
  <sheetData>
    <row r="1" ht="15.75" customHeight="1">
      <c r="A1" s="21" t="s">
        <v>97</v>
      </c>
      <c r="B1" s="21" t="s">
        <v>98</v>
      </c>
    </row>
    <row r="2" ht="15.75" customHeight="1">
      <c r="A2" s="21" t="s">
        <v>99</v>
      </c>
    </row>
    <row r="3" ht="15.75" customHeight="1">
      <c r="A3" s="21" t="s">
        <v>100</v>
      </c>
    </row>
    <row r="4" ht="15.75" customHeight="1"/>
    <row r="5" ht="15.75" customHeight="1"/>
    <row r="6" ht="15.75" customHeight="1">
      <c r="A6" s="22" t="s">
        <v>101</v>
      </c>
      <c r="B6" s="22" t="s">
        <v>102</v>
      </c>
      <c r="C6" s="22" t="s">
        <v>103</v>
      </c>
      <c r="D6" s="22" t="s">
        <v>104</v>
      </c>
      <c r="E6" s="22" t="s">
        <v>105</v>
      </c>
      <c r="F6" s="22" t="s">
        <v>106</v>
      </c>
      <c r="G6" s="22" t="s">
        <v>107</v>
      </c>
      <c r="H6" s="22" t="s">
        <v>108</v>
      </c>
      <c r="I6" s="22" t="s">
        <v>109</v>
      </c>
      <c r="J6" s="22" t="s">
        <v>110</v>
      </c>
      <c r="K6" s="22" t="s">
        <v>111</v>
      </c>
      <c r="L6" s="22" t="s">
        <v>112</v>
      </c>
      <c r="M6" s="23" t="s">
        <v>113</v>
      </c>
      <c r="N6" s="22" t="s">
        <v>114</v>
      </c>
      <c r="O6" s="22">
        <v>80.0</v>
      </c>
      <c r="P6" s="24">
        <v>20.0</v>
      </c>
      <c r="Q6" s="24" t="s">
        <v>115</v>
      </c>
    </row>
    <row r="7" ht="15.75" customHeight="1">
      <c r="A7" s="25">
        <v>1.0</v>
      </c>
      <c r="B7" s="26" t="s">
        <v>116</v>
      </c>
      <c r="C7" s="27" t="s">
        <v>117</v>
      </c>
      <c r="D7" s="28">
        <v>17612.0</v>
      </c>
      <c r="E7" s="29">
        <v>14252.0</v>
      </c>
      <c r="F7" s="30">
        <v>3360.0</v>
      </c>
      <c r="G7" s="29">
        <v>2851.0</v>
      </c>
      <c r="H7" s="30">
        <v>672.0</v>
      </c>
      <c r="I7" s="29">
        <v>11401.0</v>
      </c>
      <c r="J7" s="30">
        <v>2688.0</v>
      </c>
      <c r="K7" s="30">
        <v>11401.0</v>
      </c>
      <c r="L7" s="29">
        <f>K7*0.6</f>
        <v>6840.6</v>
      </c>
      <c r="M7" s="29">
        <f t="shared" ref="M7:M12" si="1">L7+K7</f>
        <v>18241.6</v>
      </c>
      <c r="N7" s="31"/>
      <c r="P7" s="32"/>
      <c r="Q7" s="26" t="s">
        <v>118</v>
      </c>
    </row>
    <row r="8" ht="15.75" customHeight="1">
      <c r="A8" s="32"/>
      <c r="B8" s="33" t="s">
        <v>119</v>
      </c>
      <c r="C8" s="34" t="s">
        <v>120</v>
      </c>
      <c r="D8" s="35">
        <v>17612.0</v>
      </c>
      <c r="E8" s="36">
        <v>14252.0</v>
      </c>
      <c r="F8" s="37">
        <v>3360.0</v>
      </c>
      <c r="G8" s="36">
        <v>2851.0</v>
      </c>
      <c r="H8" s="37">
        <v>672.0</v>
      </c>
      <c r="I8" s="36">
        <v>11401.0</v>
      </c>
      <c r="J8" s="37">
        <v>2688.0</v>
      </c>
      <c r="K8" s="37">
        <v>11401.0</v>
      </c>
      <c r="L8" s="36">
        <f>K8*0.8</f>
        <v>9120.8</v>
      </c>
      <c r="M8" s="36">
        <f t="shared" si="1"/>
        <v>20521.8</v>
      </c>
      <c r="P8" s="32"/>
      <c r="Q8" s="33" t="s">
        <v>118</v>
      </c>
    </row>
    <row r="9" ht="15.75" customHeight="1">
      <c r="A9" s="38"/>
      <c r="B9" s="39" t="s">
        <v>121</v>
      </c>
      <c r="C9" s="40" t="s">
        <v>122</v>
      </c>
      <c r="D9" s="41">
        <v>17612.0</v>
      </c>
      <c r="E9" s="42">
        <v>14252.0</v>
      </c>
      <c r="F9" s="43">
        <v>3360.0</v>
      </c>
      <c r="G9" s="42">
        <v>2851.0</v>
      </c>
      <c r="H9" s="43">
        <v>672.0</v>
      </c>
      <c r="I9" s="42">
        <v>11401.0</v>
      </c>
      <c r="J9" s="43">
        <v>2688.0</v>
      </c>
      <c r="K9" s="43">
        <v>11401.0</v>
      </c>
      <c r="L9" s="43">
        <v>11401.0</v>
      </c>
      <c r="M9" s="42">
        <f t="shared" si="1"/>
        <v>22802</v>
      </c>
      <c r="N9" s="44"/>
      <c r="O9" s="44"/>
      <c r="P9" s="38"/>
      <c r="Q9" s="39" t="s">
        <v>118</v>
      </c>
    </row>
    <row r="10" ht="15.75" customHeight="1">
      <c r="A10" s="45">
        <v>2.0</v>
      </c>
      <c r="B10" s="46" t="s">
        <v>116</v>
      </c>
      <c r="C10" s="47" t="s">
        <v>123</v>
      </c>
      <c r="D10" s="48">
        <v>9900.0</v>
      </c>
      <c r="E10" s="49">
        <v>6600.0</v>
      </c>
      <c r="F10" s="49">
        <v>3300.0</v>
      </c>
      <c r="G10" s="49">
        <v>1320.0</v>
      </c>
      <c r="H10" s="49">
        <v>660.0</v>
      </c>
      <c r="I10" s="49">
        <v>5280.0</v>
      </c>
      <c r="J10" s="49">
        <v>2640.0</v>
      </c>
      <c r="K10" s="49">
        <v>5280.0</v>
      </c>
      <c r="L10" s="49">
        <v>5280.0</v>
      </c>
      <c r="M10" s="49">
        <f t="shared" si="1"/>
        <v>10560</v>
      </c>
      <c r="N10" s="46"/>
      <c r="O10" s="46"/>
      <c r="P10" s="46"/>
      <c r="Q10" s="46" t="s">
        <v>118</v>
      </c>
    </row>
    <row r="11" ht="15.75" customHeight="1">
      <c r="A11" s="32"/>
      <c r="B11" s="50" t="s">
        <v>119</v>
      </c>
      <c r="C11" s="51" t="s">
        <v>124</v>
      </c>
      <c r="D11" s="52">
        <v>8580.0</v>
      </c>
      <c r="E11" s="53">
        <v>6600.0</v>
      </c>
      <c r="F11" s="53">
        <v>1980.0</v>
      </c>
      <c r="G11" s="53">
        <v>1320.0</v>
      </c>
      <c r="H11" s="53">
        <v>396.0</v>
      </c>
      <c r="I11" s="53">
        <v>5280.0</v>
      </c>
      <c r="J11" s="53">
        <v>1584.0</v>
      </c>
      <c r="K11" s="53">
        <v>5280.0</v>
      </c>
      <c r="L11" s="53">
        <v>5280.0</v>
      </c>
      <c r="M11" s="53">
        <f t="shared" si="1"/>
        <v>10560</v>
      </c>
      <c r="N11" s="50"/>
      <c r="O11" s="50"/>
      <c r="P11" s="50"/>
      <c r="Q11" s="50" t="s">
        <v>118</v>
      </c>
    </row>
    <row r="12" ht="15.75" customHeight="1">
      <c r="A12" s="38"/>
      <c r="B12" s="54" t="s">
        <v>121</v>
      </c>
      <c r="C12" s="55" t="s">
        <v>125</v>
      </c>
      <c r="D12" s="56">
        <v>7260.0</v>
      </c>
      <c r="E12" s="57">
        <v>6600.0</v>
      </c>
      <c r="F12" s="57">
        <v>660.0</v>
      </c>
      <c r="G12" s="57">
        <v>1320.0</v>
      </c>
      <c r="H12" s="57">
        <v>132.0</v>
      </c>
      <c r="I12" s="57">
        <v>5280.0</v>
      </c>
      <c r="J12" s="57">
        <v>528.0</v>
      </c>
      <c r="K12" s="57">
        <v>5280.0</v>
      </c>
      <c r="L12" s="57">
        <v>5280.0</v>
      </c>
      <c r="M12" s="57">
        <f t="shared" si="1"/>
        <v>10560</v>
      </c>
      <c r="N12" s="54"/>
      <c r="O12" s="54"/>
      <c r="P12" s="54"/>
      <c r="Q12" s="54" t="s">
        <v>118</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7:A9"/>
    <mergeCell ref="N7:P9"/>
    <mergeCell ref="A10:A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75"/>
    <col customWidth="1" min="2" max="2" width="30.13"/>
    <col customWidth="1" min="3" max="9" width="7.63"/>
    <col customWidth="1" min="10" max="10" width="6.63"/>
    <col customWidth="1" min="11" max="11" width="13.25"/>
    <col customWidth="1" min="12" max="12" width="13.88"/>
    <col customWidth="1" min="13" max="13" width="12.63"/>
    <col customWidth="1" min="14" max="14" width="12.75"/>
    <col customWidth="1" min="15" max="16" width="12.13"/>
    <col customWidth="1" min="17" max="17" width="12.25"/>
    <col customWidth="1" min="18" max="18" width="12.38"/>
  </cols>
  <sheetData>
    <row r="1">
      <c r="A1" s="58" t="s">
        <v>126</v>
      </c>
      <c r="B1" s="59" t="s">
        <v>127</v>
      </c>
      <c r="C1" s="60" t="s">
        <v>128</v>
      </c>
      <c r="D1" s="61"/>
      <c r="E1" s="61"/>
      <c r="F1" s="61"/>
      <c r="G1" s="61"/>
      <c r="H1" s="61"/>
      <c r="I1" s="61"/>
      <c r="J1" s="62"/>
      <c r="K1" s="63"/>
      <c r="L1" s="63"/>
      <c r="M1" s="63"/>
      <c r="N1" s="63"/>
      <c r="O1" s="63"/>
      <c r="P1" s="63"/>
      <c r="Q1" s="63"/>
      <c r="R1" s="63"/>
      <c r="S1" s="63"/>
      <c r="T1" s="63"/>
      <c r="U1" s="63"/>
      <c r="V1" s="63"/>
      <c r="W1" s="63"/>
      <c r="X1" s="63"/>
      <c r="Y1" s="63"/>
      <c r="Z1" s="63"/>
    </row>
    <row r="2">
      <c r="A2" s="64"/>
      <c r="B2" s="65"/>
      <c r="C2" s="58" t="s">
        <v>129</v>
      </c>
      <c r="D2" s="66" t="s">
        <v>130</v>
      </c>
      <c r="E2" s="67"/>
      <c r="F2" s="66" t="s">
        <v>131</v>
      </c>
      <c r="G2" s="67"/>
      <c r="H2" s="66" t="s">
        <v>132</v>
      </c>
      <c r="I2" s="67"/>
      <c r="J2" s="68" t="s">
        <v>133</v>
      </c>
      <c r="K2" s="63"/>
      <c r="L2" s="63"/>
      <c r="M2" s="63"/>
      <c r="N2" s="63"/>
      <c r="O2" s="63"/>
      <c r="P2" s="63"/>
      <c r="Q2" s="63"/>
      <c r="R2" s="63"/>
      <c r="S2" s="63"/>
      <c r="T2" s="63"/>
      <c r="U2" s="63"/>
      <c r="V2" s="63"/>
      <c r="W2" s="63"/>
      <c r="X2" s="63"/>
      <c r="Y2" s="63"/>
      <c r="Z2" s="63"/>
    </row>
    <row r="3">
      <c r="A3" s="69" t="s">
        <v>35</v>
      </c>
      <c r="B3" s="70" t="s">
        <v>134</v>
      </c>
      <c r="C3" s="71">
        <v>0.916</v>
      </c>
      <c r="D3" s="71">
        <v>0.935</v>
      </c>
      <c r="E3" s="71">
        <v>0.8208</v>
      </c>
      <c r="F3" s="71">
        <v>0.9632</v>
      </c>
      <c r="G3" s="71">
        <v>0.7158</v>
      </c>
      <c r="H3" s="71">
        <v>0.9489</v>
      </c>
      <c r="I3" s="71">
        <v>0.7647</v>
      </c>
      <c r="J3" s="71">
        <v>0.951</v>
      </c>
      <c r="K3" s="63"/>
      <c r="L3" s="63"/>
      <c r="M3" s="63"/>
      <c r="N3" s="63"/>
      <c r="O3" s="63"/>
      <c r="P3" s="63"/>
      <c r="Q3" s="63"/>
      <c r="R3" s="63"/>
      <c r="S3" s="63"/>
      <c r="T3" s="63"/>
      <c r="U3" s="63"/>
      <c r="V3" s="63"/>
      <c r="W3" s="63"/>
      <c r="X3" s="63"/>
      <c r="Y3" s="63"/>
      <c r="Z3" s="63"/>
    </row>
    <row r="4">
      <c r="A4" s="72"/>
      <c r="B4" s="73" t="s">
        <v>135</v>
      </c>
      <c r="C4" s="74">
        <v>0.9072</v>
      </c>
      <c r="D4" s="74">
        <v>0.9379</v>
      </c>
      <c r="E4" s="74">
        <v>0.7691</v>
      </c>
      <c r="F4" s="74">
        <v>0.9481</v>
      </c>
      <c r="G4" s="74">
        <v>0.7336</v>
      </c>
      <c r="H4" s="74">
        <v>0.943</v>
      </c>
      <c r="I4" s="74">
        <v>0.751</v>
      </c>
      <c r="J4" s="74">
        <v>0.9415</v>
      </c>
      <c r="K4" s="63"/>
      <c r="L4" s="63"/>
      <c r="M4" s="63"/>
      <c r="N4" s="63"/>
      <c r="O4" s="63"/>
      <c r="P4" s="63"/>
      <c r="Q4" s="63"/>
      <c r="R4" s="63"/>
      <c r="S4" s="63"/>
      <c r="T4" s="63"/>
      <c r="U4" s="63"/>
      <c r="V4" s="63"/>
      <c r="W4" s="63"/>
      <c r="X4" s="63"/>
      <c r="Y4" s="63"/>
      <c r="Z4" s="63"/>
    </row>
    <row r="5">
      <c r="A5" s="72"/>
      <c r="B5" s="73" t="s">
        <v>136</v>
      </c>
      <c r="C5" s="74">
        <v>0.9126</v>
      </c>
      <c r="D5" s="74">
        <v>0.9466</v>
      </c>
      <c r="E5" s="74">
        <v>0.7692</v>
      </c>
      <c r="F5" s="74">
        <v>0.9453</v>
      </c>
      <c r="G5" s="74">
        <v>0.7738</v>
      </c>
      <c r="H5" s="74">
        <v>0.9459</v>
      </c>
      <c r="I5" s="74">
        <v>0.7715</v>
      </c>
      <c r="J5" s="74">
        <v>0.9423</v>
      </c>
      <c r="K5" s="63"/>
      <c r="L5" s="63"/>
      <c r="M5" s="63"/>
      <c r="N5" s="63"/>
      <c r="O5" s="63"/>
      <c r="P5" s="63"/>
      <c r="Q5" s="63"/>
      <c r="R5" s="63"/>
      <c r="S5" s="63"/>
      <c r="T5" s="63"/>
      <c r="U5" s="63"/>
      <c r="V5" s="63"/>
      <c r="W5" s="63"/>
      <c r="X5" s="63"/>
      <c r="Y5" s="63"/>
      <c r="Z5" s="63"/>
    </row>
    <row r="6">
      <c r="A6" s="72"/>
      <c r="B6" s="73" t="s">
        <v>137</v>
      </c>
      <c r="C6" s="74">
        <v>0.9103</v>
      </c>
      <c r="D6" s="74">
        <v>0.9393</v>
      </c>
      <c r="E6" s="74">
        <v>0.779</v>
      </c>
      <c r="F6" s="74">
        <v>0.9505</v>
      </c>
      <c r="G6" s="74">
        <v>0.7396</v>
      </c>
      <c r="H6" s="74">
        <v>0.9449</v>
      </c>
      <c r="I6" s="74">
        <v>0.7588</v>
      </c>
      <c r="J6" s="74">
        <v>0.9404</v>
      </c>
      <c r="K6" s="63"/>
      <c r="L6" s="63"/>
      <c r="M6" s="63"/>
      <c r="N6" s="63"/>
      <c r="O6" s="63"/>
      <c r="P6" s="63"/>
      <c r="Q6" s="63"/>
      <c r="R6" s="63"/>
      <c r="S6" s="63"/>
      <c r="T6" s="63"/>
      <c r="U6" s="63"/>
      <c r="V6" s="63"/>
      <c r="W6" s="63"/>
      <c r="X6" s="63"/>
      <c r="Y6" s="63"/>
      <c r="Z6" s="63"/>
    </row>
    <row r="7">
      <c r="A7" s="72"/>
      <c r="B7" s="73" t="s">
        <v>138</v>
      </c>
      <c r="C7" s="74">
        <v>0.9106</v>
      </c>
      <c r="D7" s="74">
        <v>0.9394</v>
      </c>
      <c r="E7" s="74">
        <v>0.7802</v>
      </c>
      <c r="F7" s="74">
        <v>0.9509</v>
      </c>
      <c r="G7" s="74">
        <v>0.7396</v>
      </c>
      <c r="H7" s="74">
        <v>0.9451</v>
      </c>
      <c r="I7" s="74">
        <v>0.7594</v>
      </c>
      <c r="J7" s="74">
        <v>0.9437</v>
      </c>
      <c r="K7" s="75" t="s">
        <v>129</v>
      </c>
      <c r="L7" s="75" t="s">
        <v>130</v>
      </c>
      <c r="M7" s="63"/>
      <c r="N7" s="75" t="s">
        <v>131</v>
      </c>
      <c r="O7" s="63"/>
      <c r="P7" s="75" t="s">
        <v>132</v>
      </c>
      <c r="Q7" s="63"/>
      <c r="R7" s="75" t="s">
        <v>133</v>
      </c>
      <c r="S7" s="63"/>
      <c r="T7" s="63"/>
      <c r="U7" s="63"/>
      <c r="V7" s="63"/>
      <c r="W7" s="63"/>
      <c r="X7" s="63"/>
      <c r="Y7" s="63"/>
      <c r="Z7" s="63"/>
    </row>
    <row r="8">
      <c r="A8" s="64"/>
      <c r="B8" s="76" t="s">
        <v>139</v>
      </c>
      <c r="C8" s="68">
        <v>0.9046</v>
      </c>
      <c r="D8" s="68">
        <v>0.948</v>
      </c>
      <c r="E8" s="68">
        <v>0.7346</v>
      </c>
      <c r="F8" s="68">
        <v>0.9334</v>
      </c>
      <c r="G8" s="68">
        <v>0.7827</v>
      </c>
      <c r="H8" s="68">
        <v>0.9406</v>
      </c>
      <c r="I8" s="68">
        <v>0.7579</v>
      </c>
      <c r="J8" s="68">
        <v>0.937</v>
      </c>
      <c r="K8" s="75">
        <f t="shared" ref="K8:R8" si="1">average(C4:C8)</f>
        <v>0.90906</v>
      </c>
      <c r="L8" s="75">
        <f t="shared" si="1"/>
        <v>0.94224</v>
      </c>
      <c r="M8" s="75">
        <f t="shared" si="1"/>
        <v>0.76642</v>
      </c>
      <c r="N8" s="75">
        <f t="shared" si="1"/>
        <v>0.94564</v>
      </c>
      <c r="O8" s="75">
        <f t="shared" si="1"/>
        <v>0.75386</v>
      </c>
      <c r="P8" s="75">
        <f t="shared" si="1"/>
        <v>0.9439</v>
      </c>
      <c r="Q8" s="75">
        <f t="shared" si="1"/>
        <v>0.75972</v>
      </c>
      <c r="R8" s="75">
        <f t="shared" si="1"/>
        <v>0.94098</v>
      </c>
      <c r="S8" s="63"/>
      <c r="T8" s="63"/>
      <c r="U8" s="63"/>
      <c r="V8" s="63"/>
      <c r="W8" s="63"/>
      <c r="X8" s="63"/>
      <c r="Y8" s="63"/>
      <c r="Z8" s="63"/>
    </row>
    <row r="9">
      <c r="A9" s="69" t="s">
        <v>86</v>
      </c>
      <c r="B9" s="70" t="s">
        <v>134</v>
      </c>
      <c r="C9" s="71">
        <v>0.8984</v>
      </c>
      <c r="D9" s="71">
        <v>0.9431</v>
      </c>
      <c r="E9" s="71">
        <v>0.7211</v>
      </c>
      <c r="F9" s="71">
        <v>0.9306</v>
      </c>
      <c r="G9" s="71">
        <v>0.7619</v>
      </c>
      <c r="H9" s="71">
        <v>0.9368</v>
      </c>
      <c r="I9" s="71">
        <v>0.741</v>
      </c>
      <c r="J9" s="71">
        <v>0.9217</v>
      </c>
      <c r="K9" s="63"/>
      <c r="L9" s="63"/>
      <c r="M9" s="63"/>
      <c r="N9" s="63"/>
      <c r="O9" s="63"/>
      <c r="P9" s="63"/>
      <c r="Q9" s="63"/>
      <c r="R9" s="63"/>
      <c r="S9" s="63"/>
      <c r="T9" s="63"/>
      <c r="U9" s="63"/>
      <c r="V9" s="63"/>
      <c r="W9" s="63"/>
      <c r="X9" s="63"/>
      <c r="Y9" s="63"/>
      <c r="Z9" s="63"/>
    </row>
    <row r="10">
      <c r="A10" s="72"/>
      <c r="B10" s="73" t="s">
        <v>135</v>
      </c>
      <c r="C10" s="74">
        <v>0.9072</v>
      </c>
      <c r="D10" s="74">
        <v>0.9379</v>
      </c>
      <c r="E10" s="74">
        <v>0.7691</v>
      </c>
      <c r="F10" s="74">
        <v>0.9481</v>
      </c>
      <c r="G10" s="74">
        <v>0.7336</v>
      </c>
      <c r="H10" s="74">
        <v>0.943</v>
      </c>
      <c r="I10" s="74">
        <v>0.751</v>
      </c>
      <c r="J10" s="74">
        <v>0.9415</v>
      </c>
      <c r="K10" s="63"/>
      <c r="L10" s="63"/>
      <c r="M10" s="63"/>
      <c r="N10" s="63"/>
      <c r="O10" s="63"/>
      <c r="P10" s="63"/>
      <c r="Q10" s="63"/>
      <c r="R10" s="63"/>
      <c r="S10" s="63"/>
      <c r="T10" s="63"/>
      <c r="U10" s="63"/>
      <c r="V10" s="63"/>
      <c r="W10" s="63"/>
      <c r="X10" s="63"/>
      <c r="Y10" s="63"/>
      <c r="Z10" s="63"/>
    </row>
    <row r="11">
      <c r="A11" s="72"/>
      <c r="B11" s="73" t="s">
        <v>136</v>
      </c>
      <c r="C11" s="74">
        <v>0.9126</v>
      </c>
      <c r="D11" s="74">
        <v>0.9466</v>
      </c>
      <c r="E11" s="74">
        <v>0.7692</v>
      </c>
      <c r="F11" s="74">
        <v>0.9453</v>
      </c>
      <c r="G11" s="74">
        <v>0.7738</v>
      </c>
      <c r="H11" s="74">
        <v>0.9459</v>
      </c>
      <c r="I11" s="74">
        <v>0.7715</v>
      </c>
      <c r="J11" s="74">
        <v>0.9423</v>
      </c>
      <c r="K11" s="63"/>
      <c r="L11" s="63"/>
      <c r="M11" s="63"/>
      <c r="N11" s="63"/>
      <c r="O11" s="63"/>
      <c r="P11" s="63"/>
      <c r="Q11" s="63"/>
      <c r="R11" s="63"/>
      <c r="S11" s="63"/>
      <c r="T11" s="63"/>
      <c r="U11" s="63"/>
      <c r="V11" s="63"/>
      <c r="W11" s="63"/>
      <c r="X11" s="63"/>
      <c r="Y11" s="63"/>
      <c r="Z11" s="63"/>
    </row>
    <row r="12">
      <c r="A12" s="72"/>
      <c r="B12" s="73" t="s">
        <v>137</v>
      </c>
      <c r="C12" s="74">
        <v>0.9103</v>
      </c>
      <c r="D12" s="74">
        <v>0.9393</v>
      </c>
      <c r="E12" s="74">
        <v>0.779</v>
      </c>
      <c r="F12" s="74">
        <v>0.9505</v>
      </c>
      <c r="G12" s="74">
        <v>0.7396</v>
      </c>
      <c r="H12" s="74">
        <v>0.9449</v>
      </c>
      <c r="I12" s="74">
        <v>0.7588</v>
      </c>
      <c r="J12" s="74">
        <v>0.9404</v>
      </c>
      <c r="K12" s="63"/>
      <c r="L12" s="63"/>
      <c r="M12" s="63"/>
      <c r="N12" s="63"/>
      <c r="O12" s="63"/>
      <c r="P12" s="63"/>
      <c r="Q12" s="63"/>
      <c r="R12" s="63"/>
      <c r="S12" s="63"/>
      <c r="T12" s="63"/>
      <c r="U12" s="63"/>
      <c r="V12" s="63"/>
      <c r="W12" s="63"/>
      <c r="X12" s="63"/>
      <c r="Y12" s="63"/>
      <c r="Z12" s="63"/>
    </row>
    <row r="13">
      <c r="A13" s="72"/>
      <c r="B13" s="73" t="s">
        <v>138</v>
      </c>
      <c r="C13" s="74">
        <v>0.9106</v>
      </c>
      <c r="D13" s="74">
        <v>0.9394</v>
      </c>
      <c r="E13" s="74">
        <v>0.7802</v>
      </c>
      <c r="F13" s="74">
        <v>0.9509</v>
      </c>
      <c r="G13" s="74">
        <v>0.7396</v>
      </c>
      <c r="H13" s="74">
        <v>0.9451</v>
      </c>
      <c r="I13" s="74">
        <v>0.7594</v>
      </c>
      <c r="J13" s="74">
        <v>0.9437</v>
      </c>
      <c r="K13" s="77" t="s">
        <v>129</v>
      </c>
      <c r="L13" s="63" t="s">
        <v>130</v>
      </c>
      <c r="N13" s="63" t="s">
        <v>131</v>
      </c>
      <c r="P13" s="63" t="s">
        <v>132</v>
      </c>
      <c r="R13" s="63" t="s">
        <v>133</v>
      </c>
      <c r="S13" s="63"/>
      <c r="T13" s="63"/>
      <c r="U13" s="63"/>
      <c r="V13" s="63"/>
      <c r="W13" s="63"/>
      <c r="X13" s="63"/>
      <c r="Y13" s="63"/>
      <c r="Z13" s="63"/>
    </row>
    <row r="14">
      <c r="A14" s="64"/>
      <c r="B14" s="73" t="s">
        <v>139</v>
      </c>
      <c r="C14" s="68">
        <v>0.9046</v>
      </c>
      <c r="D14" s="68">
        <v>0.948</v>
      </c>
      <c r="E14" s="68">
        <v>0.7346</v>
      </c>
      <c r="F14" s="68">
        <v>0.9334</v>
      </c>
      <c r="G14" s="68">
        <v>0.7827</v>
      </c>
      <c r="H14" s="68">
        <v>0.9406</v>
      </c>
      <c r="I14" s="68">
        <v>0.7579</v>
      </c>
      <c r="J14" s="68">
        <v>0.937</v>
      </c>
      <c r="K14" s="75">
        <f t="shared" ref="K14:R14" si="2">average(C10:C14)</f>
        <v>0.90906</v>
      </c>
      <c r="L14" s="75">
        <f t="shared" si="2"/>
        <v>0.94224</v>
      </c>
      <c r="M14" s="75">
        <f t="shared" si="2"/>
        <v>0.76642</v>
      </c>
      <c r="N14" s="75">
        <f t="shared" si="2"/>
        <v>0.94564</v>
      </c>
      <c r="O14" s="75">
        <f t="shared" si="2"/>
        <v>0.75386</v>
      </c>
      <c r="P14" s="75">
        <f t="shared" si="2"/>
        <v>0.9439</v>
      </c>
      <c r="Q14" s="75">
        <f t="shared" si="2"/>
        <v>0.75972</v>
      </c>
      <c r="R14" s="75">
        <f t="shared" si="2"/>
        <v>0.94098</v>
      </c>
      <c r="S14" s="63"/>
      <c r="T14" s="63"/>
      <c r="U14" s="63"/>
      <c r="V14" s="63"/>
      <c r="W14" s="63"/>
      <c r="X14" s="63"/>
      <c r="Y14" s="63"/>
      <c r="Z14" s="63"/>
    </row>
    <row r="15">
      <c r="A15" s="69" t="s">
        <v>140</v>
      </c>
      <c r="B15" s="70" t="s">
        <v>134</v>
      </c>
      <c r="C15" s="71">
        <v>0.931</v>
      </c>
      <c r="D15" s="71">
        <v>0.9518</v>
      </c>
      <c r="E15" s="71">
        <v>0.8367</v>
      </c>
      <c r="F15" s="71">
        <v>0.9635</v>
      </c>
      <c r="G15" s="71">
        <v>0.7932</v>
      </c>
      <c r="H15" s="71">
        <v>0.9576</v>
      </c>
      <c r="I15" s="71">
        <v>0.8144</v>
      </c>
      <c r="J15" s="71">
        <v>0.9597</v>
      </c>
      <c r="K15" s="63"/>
      <c r="L15" s="63"/>
      <c r="M15" s="63"/>
      <c r="N15" s="63"/>
      <c r="O15" s="63"/>
      <c r="P15" s="63"/>
      <c r="Q15" s="63"/>
      <c r="R15" s="63"/>
      <c r="S15" s="63"/>
      <c r="T15" s="63"/>
      <c r="U15" s="63"/>
      <c r="V15" s="63"/>
      <c r="W15" s="63"/>
      <c r="X15" s="63"/>
      <c r="Y15" s="63"/>
      <c r="Z15" s="63"/>
    </row>
    <row r="16">
      <c r="A16" s="72"/>
      <c r="B16" s="73" t="s">
        <v>135</v>
      </c>
      <c r="C16" s="74">
        <v>0.9114</v>
      </c>
      <c r="D16" s="74">
        <v>0.9555</v>
      </c>
      <c r="E16" s="74">
        <v>0.7446</v>
      </c>
      <c r="F16" s="74">
        <v>0.9341</v>
      </c>
      <c r="G16" s="74">
        <v>0.8155</v>
      </c>
      <c r="H16" s="74">
        <v>0.9447</v>
      </c>
      <c r="I16" s="74">
        <v>0.7784</v>
      </c>
      <c r="J16" s="74">
        <v>0.9484</v>
      </c>
      <c r="K16" s="63"/>
      <c r="L16" s="63"/>
      <c r="M16" s="63"/>
      <c r="N16" s="63"/>
      <c r="O16" s="63"/>
      <c r="P16" s="63"/>
      <c r="Q16" s="63"/>
      <c r="R16" s="63"/>
      <c r="S16" s="63"/>
      <c r="T16" s="63"/>
      <c r="U16" s="63"/>
      <c r="V16" s="63"/>
      <c r="W16" s="63"/>
      <c r="X16" s="63"/>
      <c r="Y16" s="63"/>
      <c r="Z16" s="63"/>
    </row>
    <row r="17">
      <c r="A17" s="72"/>
      <c r="B17" s="73" t="s">
        <v>136</v>
      </c>
      <c r="C17" s="74">
        <v>0.9112</v>
      </c>
      <c r="D17" s="74">
        <v>0.9503</v>
      </c>
      <c r="E17" s="74">
        <v>0.7546</v>
      </c>
      <c r="F17" s="74">
        <v>0.9393</v>
      </c>
      <c r="G17" s="74">
        <v>0.7917</v>
      </c>
      <c r="H17" s="74">
        <v>0.9448</v>
      </c>
      <c r="I17" s="74">
        <v>0.7727</v>
      </c>
      <c r="J17" s="74">
        <v>0.9462</v>
      </c>
      <c r="K17" s="63"/>
      <c r="L17" s="63"/>
      <c r="M17" s="63"/>
      <c r="N17" s="63"/>
      <c r="O17" s="63"/>
      <c r="P17" s="63"/>
      <c r="Q17" s="63"/>
      <c r="R17" s="63"/>
      <c r="S17" s="63"/>
      <c r="T17" s="63"/>
      <c r="U17" s="63"/>
      <c r="V17" s="63"/>
      <c r="W17" s="63"/>
      <c r="X17" s="63"/>
      <c r="Y17" s="63"/>
      <c r="Z17" s="63"/>
    </row>
    <row r="18">
      <c r="A18" s="72"/>
      <c r="B18" s="73" t="s">
        <v>137</v>
      </c>
      <c r="C18" s="74">
        <v>0.9253</v>
      </c>
      <c r="D18" s="74">
        <v>0.9515</v>
      </c>
      <c r="E18" s="74">
        <v>0.8113</v>
      </c>
      <c r="F18" s="74">
        <v>0.9565</v>
      </c>
      <c r="G18" s="74">
        <v>0.7932</v>
      </c>
      <c r="H18" s="74">
        <v>0.954</v>
      </c>
      <c r="I18" s="74">
        <v>0.8021</v>
      </c>
      <c r="J18" s="74">
        <v>0.9565</v>
      </c>
      <c r="K18" s="63"/>
      <c r="L18" s="63"/>
      <c r="M18" s="63"/>
      <c r="N18" s="63"/>
      <c r="O18" s="63"/>
      <c r="P18" s="63"/>
      <c r="Q18" s="63"/>
      <c r="R18" s="63"/>
      <c r="S18" s="63"/>
      <c r="T18" s="63"/>
      <c r="U18" s="63"/>
      <c r="V18" s="63"/>
      <c r="W18" s="63"/>
      <c r="X18" s="63"/>
      <c r="Y18" s="63"/>
      <c r="Z18" s="63"/>
    </row>
    <row r="19">
      <c r="A19" s="72"/>
      <c r="B19" s="73" t="s">
        <v>138</v>
      </c>
      <c r="C19" s="74">
        <v>0.9268</v>
      </c>
      <c r="D19" s="74">
        <v>0.9525</v>
      </c>
      <c r="E19" s="74">
        <v>0.8146</v>
      </c>
      <c r="F19" s="74">
        <v>0.9572</v>
      </c>
      <c r="G19" s="74">
        <v>0.7976</v>
      </c>
      <c r="H19" s="74">
        <v>0.9549</v>
      </c>
      <c r="I19" s="74">
        <v>0.806</v>
      </c>
      <c r="J19" s="74">
        <v>0.9385</v>
      </c>
      <c r="K19" s="63" t="s">
        <v>129</v>
      </c>
      <c r="L19" s="63" t="s">
        <v>130</v>
      </c>
      <c r="N19" s="63" t="s">
        <v>131</v>
      </c>
      <c r="P19" s="63" t="s">
        <v>132</v>
      </c>
      <c r="R19" s="63" t="s">
        <v>133</v>
      </c>
    </row>
    <row r="20">
      <c r="A20" s="64"/>
      <c r="B20" s="73" t="s">
        <v>139</v>
      </c>
      <c r="C20" s="74">
        <v>0.9157</v>
      </c>
      <c r="D20" s="74">
        <v>0.9493</v>
      </c>
      <c r="E20" s="74">
        <v>0.7753</v>
      </c>
      <c r="F20" s="74">
        <v>0.9463</v>
      </c>
      <c r="G20" s="74">
        <v>0.7857</v>
      </c>
      <c r="H20" s="74">
        <v>0.9478</v>
      </c>
      <c r="I20" s="74">
        <v>0.7805</v>
      </c>
      <c r="J20" s="74">
        <v>0.9538</v>
      </c>
      <c r="K20" s="75">
        <f t="shared" ref="K20:R20" si="3">average(C16:C20)</f>
        <v>0.91808</v>
      </c>
      <c r="L20" s="75">
        <f t="shared" si="3"/>
        <v>0.95182</v>
      </c>
      <c r="M20" s="75">
        <f t="shared" si="3"/>
        <v>0.78008</v>
      </c>
      <c r="N20" s="75">
        <f t="shared" si="3"/>
        <v>0.94668</v>
      </c>
      <c r="O20" s="75">
        <f t="shared" si="3"/>
        <v>0.79674</v>
      </c>
      <c r="P20" s="75">
        <f t="shared" si="3"/>
        <v>0.94924</v>
      </c>
      <c r="Q20" s="75">
        <f t="shared" si="3"/>
        <v>0.78794</v>
      </c>
      <c r="R20" s="75">
        <f t="shared" si="3"/>
        <v>0.94868</v>
      </c>
    </row>
    <row r="21">
      <c r="A21" s="75" t="s">
        <v>141</v>
      </c>
      <c r="K21" s="63"/>
      <c r="L21" s="63"/>
      <c r="M21" s="63"/>
      <c r="N21" s="63"/>
      <c r="O21" s="63"/>
      <c r="P21" s="63"/>
      <c r="Q21" s="63"/>
      <c r="R21" s="63"/>
      <c r="S21" s="63"/>
      <c r="T21" s="63"/>
      <c r="U21" s="63"/>
      <c r="V21" s="63"/>
      <c r="W21" s="63"/>
      <c r="X21" s="63"/>
      <c r="Y21" s="63"/>
      <c r="Z21" s="63"/>
    </row>
    <row r="22">
      <c r="A22" s="58" t="s">
        <v>35</v>
      </c>
      <c r="B22" s="73" t="s">
        <v>134</v>
      </c>
      <c r="C22" s="74">
        <v>0.916</v>
      </c>
      <c r="D22" s="74">
        <v>0.935</v>
      </c>
      <c r="E22" s="74">
        <v>0.8208</v>
      </c>
      <c r="F22" s="74">
        <v>0.9632</v>
      </c>
      <c r="G22" s="74">
        <v>0.7158</v>
      </c>
      <c r="H22" s="74">
        <v>0.9489</v>
      </c>
      <c r="I22" s="74">
        <v>0.7647</v>
      </c>
      <c r="J22" s="74">
        <v>0.951</v>
      </c>
      <c r="K22" s="63"/>
      <c r="L22" s="63"/>
      <c r="M22" s="63"/>
      <c r="N22" s="63"/>
      <c r="O22" s="63"/>
      <c r="P22" s="63"/>
      <c r="Q22" s="63"/>
      <c r="R22" s="63"/>
      <c r="S22" s="63"/>
      <c r="T22" s="63"/>
      <c r="U22" s="63"/>
      <c r="V22" s="63"/>
      <c r="W22" s="63"/>
      <c r="X22" s="63"/>
      <c r="Y22" s="63"/>
      <c r="Z22" s="63"/>
    </row>
    <row r="23">
      <c r="A23" s="72"/>
      <c r="B23" s="73" t="s">
        <v>135</v>
      </c>
      <c r="C23" s="74">
        <v>0.9058</v>
      </c>
      <c r="D23" s="74">
        <v>0.9415</v>
      </c>
      <c r="E23" s="74">
        <v>0.7537</v>
      </c>
      <c r="F23" s="74">
        <v>0.9421</v>
      </c>
      <c r="G23" s="74">
        <v>0.7515</v>
      </c>
      <c r="H23" s="74">
        <v>0.9418</v>
      </c>
      <c r="I23" s="74">
        <v>0.7526</v>
      </c>
      <c r="J23" s="74">
        <v>0.9408</v>
      </c>
      <c r="K23" s="63">
        <f t="shared" ref="K23:K27" si="4">average(G23,G29,G35)</f>
        <v>0.8060666667</v>
      </c>
      <c r="L23" s="63"/>
      <c r="M23" s="63">
        <f t="shared" ref="M23:M27" si="5">average(I23,I29,I35)</f>
        <v>0.7157666667</v>
      </c>
      <c r="P23" s="63"/>
      <c r="Q23" s="63"/>
      <c r="R23" s="63"/>
      <c r="S23" s="63"/>
      <c r="T23" s="63"/>
      <c r="U23" s="63"/>
      <c r="V23" s="63"/>
      <c r="W23" s="63"/>
      <c r="X23" s="63"/>
      <c r="Y23" s="63"/>
      <c r="Z23" s="63"/>
    </row>
    <row r="24">
      <c r="A24" s="72"/>
      <c r="B24" s="73" t="s">
        <v>136</v>
      </c>
      <c r="C24" s="74">
        <v>0.9177</v>
      </c>
      <c r="D24" s="74">
        <v>0.9482</v>
      </c>
      <c r="E24" s="74">
        <v>0.7868</v>
      </c>
      <c r="F24" s="74">
        <v>0.9502</v>
      </c>
      <c r="G24" s="74">
        <v>0.7798</v>
      </c>
      <c r="H24" s="74">
        <v>0.9492</v>
      </c>
      <c r="I24" s="74">
        <v>0.7833</v>
      </c>
      <c r="J24" s="74">
        <v>0.9488</v>
      </c>
      <c r="K24" s="63">
        <f t="shared" si="4"/>
        <v>0.7931666667</v>
      </c>
      <c r="L24" s="63"/>
      <c r="M24" s="63">
        <f t="shared" si="5"/>
        <v>0.7358666667</v>
      </c>
      <c r="N24" s="63"/>
      <c r="O24" s="63"/>
      <c r="P24" s="63"/>
      <c r="Q24" s="63"/>
      <c r="R24" s="63"/>
      <c r="S24" s="63"/>
      <c r="T24" s="63"/>
      <c r="U24" s="63"/>
      <c r="V24" s="63"/>
      <c r="W24" s="63"/>
      <c r="X24" s="63"/>
      <c r="Y24" s="63"/>
      <c r="Z24" s="63"/>
    </row>
    <row r="25">
      <c r="A25" s="72"/>
      <c r="B25" s="73" t="s">
        <v>137</v>
      </c>
      <c r="C25" s="74">
        <v>0.9077</v>
      </c>
      <c r="D25" s="74">
        <v>0.9385</v>
      </c>
      <c r="E25" s="74">
        <v>0.7698</v>
      </c>
      <c r="F25" s="74">
        <v>0.9481</v>
      </c>
      <c r="G25" s="74">
        <v>0.7366</v>
      </c>
      <c r="H25" s="74">
        <v>0.9433</v>
      </c>
      <c r="I25" s="74">
        <v>0.7529</v>
      </c>
      <c r="J25" s="74">
        <v>0.9408</v>
      </c>
      <c r="K25" s="63">
        <f t="shared" si="4"/>
        <v>0.7782666667</v>
      </c>
      <c r="L25" s="63"/>
      <c r="M25" s="63">
        <f t="shared" si="5"/>
        <v>0.7323666667</v>
      </c>
      <c r="N25" s="63"/>
      <c r="O25" s="63"/>
      <c r="P25" s="63"/>
      <c r="Q25" s="63"/>
      <c r="R25" s="63"/>
      <c r="S25" s="63"/>
      <c r="T25" s="63"/>
      <c r="U25" s="63"/>
      <c r="V25" s="63"/>
      <c r="W25" s="63"/>
      <c r="X25" s="63"/>
      <c r="Y25" s="63"/>
      <c r="Z25" s="63"/>
    </row>
    <row r="26">
      <c r="A26" s="72"/>
      <c r="B26" s="73" t="s">
        <v>138</v>
      </c>
      <c r="C26" s="74">
        <v>0.91</v>
      </c>
      <c r="D26" s="74">
        <v>0.9393</v>
      </c>
      <c r="E26" s="74">
        <v>0.7778</v>
      </c>
      <c r="F26" s="74">
        <v>0.9502</v>
      </c>
      <c r="G26" s="74">
        <v>0.7396</v>
      </c>
      <c r="H26" s="74">
        <v>0.9447</v>
      </c>
      <c r="I26" s="74">
        <v>0.7582</v>
      </c>
      <c r="J26" s="74">
        <v>0.9433</v>
      </c>
      <c r="K26" s="63">
        <f t="shared" si="4"/>
        <v>0.7961333333</v>
      </c>
      <c r="L26" s="63"/>
      <c r="M26" s="63">
        <f t="shared" si="5"/>
        <v>0.7046333333</v>
      </c>
      <c r="N26" s="63"/>
      <c r="P26" s="63"/>
      <c r="R26" s="63"/>
      <c r="S26" s="63"/>
      <c r="T26" s="63"/>
      <c r="U26" s="63"/>
      <c r="V26" s="63"/>
      <c r="W26" s="63"/>
      <c r="X26" s="63"/>
      <c r="Y26" s="63"/>
      <c r="Z26" s="63"/>
    </row>
    <row r="27">
      <c r="A27" s="64"/>
      <c r="B27" s="76" t="s">
        <v>139</v>
      </c>
      <c r="C27" s="68">
        <v>0.9029</v>
      </c>
      <c r="D27" s="68">
        <v>0.9463</v>
      </c>
      <c r="E27" s="68">
        <v>0.7317</v>
      </c>
      <c r="F27" s="68">
        <v>0.933</v>
      </c>
      <c r="G27" s="68">
        <v>0.7753</v>
      </c>
      <c r="H27" s="68">
        <v>0.9396</v>
      </c>
      <c r="I27" s="68">
        <v>0.7529</v>
      </c>
      <c r="J27" s="68">
        <v>0.9368</v>
      </c>
      <c r="K27" s="63">
        <f t="shared" si="4"/>
        <v>0.7802666667</v>
      </c>
      <c r="L27" s="63"/>
      <c r="M27" s="63">
        <f t="shared" si="5"/>
        <v>0.7331333333</v>
      </c>
      <c r="N27" s="75"/>
      <c r="O27" s="75"/>
      <c r="P27" s="75"/>
      <c r="Q27" s="75"/>
      <c r="R27" s="75"/>
      <c r="S27" s="63"/>
      <c r="T27" s="63"/>
      <c r="U27" s="63"/>
      <c r="V27" s="63"/>
      <c r="W27" s="63"/>
      <c r="X27" s="63"/>
      <c r="Y27" s="63"/>
      <c r="Z27" s="63"/>
    </row>
    <row r="28">
      <c r="A28" s="69" t="s">
        <v>86</v>
      </c>
      <c r="B28" s="70" t="s">
        <v>134</v>
      </c>
      <c r="C28" s="71">
        <v>0.8984</v>
      </c>
      <c r="D28" s="71">
        <v>0.9431</v>
      </c>
      <c r="E28" s="71">
        <v>0.7211</v>
      </c>
      <c r="F28" s="71">
        <v>0.9306</v>
      </c>
      <c r="G28" s="71">
        <v>0.7619</v>
      </c>
      <c r="H28" s="71">
        <v>0.9368</v>
      </c>
      <c r="I28" s="71">
        <v>0.741</v>
      </c>
      <c r="J28" s="71">
        <v>0.9217</v>
      </c>
      <c r="K28" s="75" t="s">
        <v>135</v>
      </c>
      <c r="M28" s="75" t="s">
        <v>136</v>
      </c>
      <c r="N28" s="63"/>
      <c r="O28" s="63"/>
      <c r="P28" s="63"/>
      <c r="Q28" s="63"/>
      <c r="R28" s="63"/>
      <c r="S28" s="63"/>
      <c r="T28" s="63"/>
      <c r="U28" s="63"/>
      <c r="V28" s="63"/>
      <c r="W28" s="63"/>
      <c r="X28" s="63"/>
      <c r="Y28" s="63"/>
      <c r="Z28" s="63"/>
    </row>
    <row r="29">
      <c r="A29" s="72"/>
      <c r="B29" s="73" t="s">
        <v>135</v>
      </c>
      <c r="C29" s="74">
        <v>0.8073</v>
      </c>
      <c r="D29" s="74">
        <v>0.9586</v>
      </c>
      <c r="E29" s="74">
        <v>0.497</v>
      </c>
      <c r="F29" s="74">
        <v>0.7962</v>
      </c>
      <c r="G29" s="74">
        <v>0.8542</v>
      </c>
      <c r="H29" s="74">
        <v>0.8699</v>
      </c>
      <c r="I29" s="74">
        <v>0.6284</v>
      </c>
      <c r="J29" s="74">
        <v>0.9072</v>
      </c>
      <c r="K29" s="75" t="s">
        <v>138</v>
      </c>
      <c r="L29" s="63"/>
      <c r="M29" s="75" t="s">
        <v>142</v>
      </c>
      <c r="N29" s="63"/>
      <c r="O29" s="63"/>
      <c r="P29" s="63"/>
      <c r="Q29" s="63"/>
      <c r="R29" s="63"/>
      <c r="S29" s="63"/>
      <c r="T29" s="63"/>
      <c r="U29" s="63"/>
      <c r="V29" s="63"/>
      <c r="W29" s="63"/>
      <c r="X29" s="63"/>
      <c r="Y29" s="63"/>
      <c r="Z29" s="63"/>
    </row>
    <row r="30">
      <c r="A30" s="72"/>
      <c r="B30" s="73" t="s">
        <v>136</v>
      </c>
      <c r="C30" s="74">
        <v>0.8342</v>
      </c>
      <c r="D30" s="74">
        <v>0.944</v>
      </c>
      <c r="E30" s="74">
        <v>0.5454</v>
      </c>
      <c r="F30" s="74">
        <v>0.8453</v>
      </c>
      <c r="G30" s="74">
        <v>0.7872</v>
      </c>
      <c r="H30" s="74">
        <v>0.8919</v>
      </c>
      <c r="I30" s="74">
        <v>0.6443</v>
      </c>
      <c r="J30" s="74">
        <v>0.8895</v>
      </c>
      <c r="K30" s="63"/>
      <c r="L30" s="63"/>
      <c r="M30" s="63"/>
      <c r="N30" s="63"/>
      <c r="O30" s="63"/>
      <c r="P30" s="63"/>
      <c r="Q30" s="63"/>
      <c r="R30" s="63"/>
      <c r="S30" s="63"/>
      <c r="T30" s="63"/>
      <c r="U30" s="63"/>
      <c r="V30" s="63"/>
      <c r="W30" s="63"/>
      <c r="X30" s="63"/>
      <c r="Y30" s="63"/>
      <c r="Z30" s="63"/>
    </row>
    <row r="31">
      <c r="A31" s="72"/>
      <c r="B31" s="73" t="s">
        <v>137</v>
      </c>
      <c r="C31" s="74">
        <v>0.8249</v>
      </c>
      <c r="D31" s="74">
        <v>0.9522</v>
      </c>
      <c r="E31" s="74">
        <v>0.5261</v>
      </c>
      <c r="F31" s="74">
        <v>0.825</v>
      </c>
      <c r="G31" s="74">
        <v>0.8244</v>
      </c>
      <c r="H31" s="74">
        <v>0.884</v>
      </c>
      <c r="I31" s="74">
        <v>0.6423</v>
      </c>
      <c r="J31" s="74">
        <v>0.9047</v>
      </c>
      <c r="K31" s="63"/>
      <c r="L31" s="63"/>
      <c r="M31" s="63"/>
      <c r="N31" s="63"/>
      <c r="O31" s="63"/>
      <c r="P31" s="63"/>
      <c r="Q31" s="63"/>
      <c r="R31" s="63"/>
      <c r="S31" s="63"/>
      <c r="T31" s="63"/>
      <c r="U31" s="63"/>
      <c r="V31" s="63"/>
      <c r="W31" s="63"/>
      <c r="X31" s="63"/>
      <c r="Y31" s="63"/>
      <c r="Z31" s="63"/>
    </row>
    <row r="32">
      <c r="A32" s="72"/>
      <c r="B32" s="73" t="s">
        <v>138</v>
      </c>
      <c r="C32" s="74">
        <v>0.7329</v>
      </c>
      <c r="D32" s="19">
        <v>0.9556</v>
      </c>
      <c r="E32" s="74">
        <v>0.4057</v>
      </c>
      <c r="F32" s="74">
        <v>0.7026</v>
      </c>
      <c r="G32" s="74">
        <v>0.8616</v>
      </c>
      <c r="H32" s="74">
        <v>0.8098</v>
      </c>
      <c r="I32" s="74">
        <v>0.5517</v>
      </c>
      <c r="J32" s="74">
        <v>0.8834</v>
      </c>
      <c r="K32" s="63"/>
      <c r="L32" s="63"/>
      <c r="N32" s="63"/>
      <c r="P32" s="63"/>
      <c r="R32" s="63"/>
      <c r="S32" s="63"/>
      <c r="T32" s="63"/>
      <c r="U32" s="63"/>
      <c r="V32" s="63"/>
      <c r="W32" s="63"/>
      <c r="X32" s="63"/>
      <c r="Y32" s="63"/>
      <c r="Z32" s="63"/>
    </row>
    <row r="33">
      <c r="A33" s="64"/>
      <c r="B33" s="73" t="s">
        <v>139</v>
      </c>
      <c r="C33" s="74">
        <v>0.8433</v>
      </c>
      <c r="D33" s="74">
        <v>0.9485</v>
      </c>
      <c r="E33" s="74">
        <v>0.5625</v>
      </c>
      <c r="F33" s="74">
        <v>0.8527</v>
      </c>
      <c r="G33" s="74">
        <v>0.8036</v>
      </c>
      <c r="H33" s="74">
        <v>0.898</v>
      </c>
      <c r="I33" s="74">
        <v>0.6618</v>
      </c>
      <c r="J33" s="74">
        <v>0.9033</v>
      </c>
      <c r="K33" s="75"/>
      <c r="L33" s="75"/>
      <c r="M33" s="75"/>
      <c r="N33" s="75"/>
      <c r="O33" s="75"/>
      <c r="P33" s="75"/>
      <c r="Q33" s="75"/>
      <c r="R33" s="75"/>
      <c r="S33" s="63"/>
      <c r="T33" s="63"/>
      <c r="U33" s="63"/>
      <c r="V33" s="63"/>
      <c r="W33" s="63"/>
      <c r="X33" s="63"/>
      <c r="Y33" s="63"/>
      <c r="Z33" s="63"/>
    </row>
    <row r="34">
      <c r="A34" s="69" t="s">
        <v>140</v>
      </c>
      <c r="B34" s="70" t="s">
        <v>134</v>
      </c>
      <c r="C34" s="71">
        <v>0.931</v>
      </c>
      <c r="D34" s="71">
        <v>0.9518</v>
      </c>
      <c r="E34" s="71">
        <v>0.8367</v>
      </c>
      <c r="F34" s="71">
        <v>0.9635</v>
      </c>
      <c r="G34" s="71">
        <v>0.7932</v>
      </c>
      <c r="H34" s="71">
        <v>0.9576</v>
      </c>
      <c r="I34" s="71">
        <v>0.8144</v>
      </c>
      <c r="J34" s="71">
        <v>0.9597</v>
      </c>
      <c r="K34" s="63"/>
      <c r="L34" s="63"/>
      <c r="M34" s="63"/>
      <c r="N34" s="63"/>
      <c r="O34" s="63"/>
      <c r="P34" s="63"/>
      <c r="Q34" s="63"/>
      <c r="R34" s="63"/>
      <c r="S34" s="63"/>
      <c r="T34" s="63"/>
      <c r="U34" s="63"/>
      <c r="V34" s="63"/>
      <c r="W34" s="63"/>
      <c r="X34" s="63"/>
      <c r="Y34" s="63"/>
      <c r="Z34" s="63"/>
    </row>
    <row r="35">
      <c r="A35" s="72"/>
      <c r="B35" s="73" t="s">
        <v>135</v>
      </c>
      <c r="C35" s="74">
        <v>0.9055</v>
      </c>
      <c r="D35" s="74">
        <v>0.9545</v>
      </c>
      <c r="E35" s="74">
        <v>0.7251</v>
      </c>
      <c r="F35" s="74">
        <v>0.9274</v>
      </c>
      <c r="G35" s="74">
        <v>0.8125</v>
      </c>
      <c r="H35" s="74">
        <v>0.9408</v>
      </c>
      <c r="I35" s="74">
        <v>0.7663</v>
      </c>
      <c r="J35" s="74">
        <v>0.9427</v>
      </c>
      <c r="K35" s="63"/>
      <c r="L35" s="63"/>
      <c r="M35" s="63"/>
      <c r="N35" s="63"/>
      <c r="O35" s="63"/>
      <c r="P35" s="63"/>
      <c r="Q35" s="63"/>
      <c r="R35" s="63"/>
      <c r="S35" s="63"/>
      <c r="T35" s="63"/>
      <c r="U35" s="63"/>
      <c r="V35" s="63"/>
      <c r="W35" s="63"/>
      <c r="X35" s="63"/>
      <c r="Y35" s="63"/>
      <c r="Z35" s="63"/>
    </row>
    <row r="36">
      <c r="A36" s="72"/>
      <c r="B36" s="73" t="s">
        <v>136</v>
      </c>
      <c r="C36" s="74">
        <v>0.9126</v>
      </c>
      <c r="D36" s="74">
        <v>0.9549</v>
      </c>
      <c r="E36" s="74">
        <v>0.75</v>
      </c>
      <c r="F36" s="74">
        <v>0.9362</v>
      </c>
      <c r="G36" s="74">
        <v>0.8125</v>
      </c>
      <c r="H36" s="74">
        <v>0.9454</v>
      </c>
      <c r="I36" s="74">
        <v>0.78</v>
      </c>
      <c r="J36" s="74">
        <v>0.9476</v>
      </c>
      <c r="K36" s="63"/>
      <c r="L36" s="63"/>
      <c r="M36" s="63"/>
      <c r="N36" s="63"/>
      <c r="O36" s="63"/>
      <c r="P36" s="63"/>
      <c r="Q36" s="63"/>
      <c r="R36" s="63"/>
    </row>
    <row r="37">
      <c r="A37" s="72"/>
      <c r="B37" s="73" t="s">
        <v>137</v>
      </c>
      <c r="C37" s="74">
        <v>0.9271</v>
      </c>
      <c r="D37" s="74">
        <v>0.9476</v>
      </c>
      <c r="E37" s="74">
        <v>0.832</v>
      </c>
      <c r="F37" s="74">
        <v>0.9632</v>
      </c>
      <c r="G37" s="74">
        <v>0.7738</v>
      </c>
      <c r="H37" s="74">
        <v>0.9553</v>
      </c>
      <c r="I37" s="74">
        <v>0.8019</v>
      </c>
      <c r="J37" s="74">
        <v>0.9439</v>
      </c>
      <c r="K37" s="63"/>
      <c r="L37" s="63"/>
      <c r="M37" s="63"/>
      <c r="N37" s="63"/>
      <c r="O37" s="63"/>
      <c r="P37" s="63"/>
      <c r="Q37" s="63"/>
      <c r="R37" s="63"/>
    </row>
    <row r="38">
      <c r="A38" s="72"/>
      <c r="B38" s="73" t="s">
        <v>138</v>
      </c>
      <c r="C38" s="74">
        <v>0.9268</v>
      </c>
      <c r="D38" s="74">
        <v>0.9503</v>
      </c>
      <c r="E38" s="74">
        <v>0.8214</v>
      </c>
      <c r="F38" s="74">
        <v>0.9597</v>
      </c>
      <c r="G38" s="74">
        <v>0.7872</v>
      </c>
      <c r="H38" s="74">
        <v>0.955</v>
      </c>
      <c r="I38" s="74">
        <v>0.804</v>
      </c>
      <c r="J38" s="74">
        <v>0.9429</v>
      </c>
      <c r="K38" s="63"/>
      <c r="L38" s="63"/>
      <c r="N38" s="63"/>
      <c r="P38" s="63"/>
      <c r="R38" s="63"/>
    </row>
    <row r="39">
      <c r="A39" s="64"/>
      <c r="B39" s="73" t="s">
        <v>139</v>
      </c>
      <c r="C39" s="74">
        <v>0.9202</v>
      </c>
      <c r="D39" s="74">
        <v>0.9446</v>
      </c>
      <c r="E39" s="74">
        <v>0.8088</v>
      </c>
      <c r="F39" s="74">
        <v>0.9576</v>
      </c>
      <c r="G39" s="74">
        <v>0.7619</v>
      </c>
      <c r="H39" s="74">
        <v>0.9511</v>
      </c>
      <c r="I39" s="74">
        <v>0.7847</v>
      </c>
      <c r="J39" s="74">
        <v>0.9459</v>
      </c>
      <c r="K39" s="75"/>
      <c r="L39" s="75"/>
      <c r="M39" s="75"/>
      <c r="N39" s="75"/>
      <c r="O39" s="75"/>
      <c r="P39" s="75"/>
      <c r="Q39" s="75"/>
      <c r="R39" s="75"/>
    </row>
    <row r="40">
      <c r="A40" s="63"/>
      <c r="B40" s="78"/>
      <c r="C40" s="63"/>
      <c r="D40" s="63"/>
      <c r="E40" s="63"/>
      <c r="F40" s="63"/>
      <c r="G40" s="63"/>
      <c r="H40" s="63"/>
      <c r="I40" s="63"/>
      <c r="J40" s="63"/>
      <c r="K40" s="63"/>
      <c r="L40" s="63"/>
      <c r="M40" s="63"/>
      <c r="N40" s="63"/>
      <c r="O40" s="63"/>
      <c r="P40" s="63"/>
      <c r="Q40" s="63"/>
      <c r="R40" s="63"/>
      <c r="S40" s="63"/>
      <c r="T40" s="63"/>
      <c r="U40" s="63"/>
      <c r="V40" s="63"/>
      <c r="W40" s="63"/>
      <c r="X40" s="63"/>
      <c r="Y40" s="63"/>
      <c r="Z40" s="63"/>
    </row>
    <row r="41">
      <c r="A41" s="63"/>
      <c r="B41" s="78"/>
      <c r="C41" s="63"/>
      <c r="D41" s="63"/>
      <c r="E41" s="63"/>
      <c r="F41" s="63"/>
      <c r="G41" s="63"/>
      <c r="H41" s="63"/>
      <c r="I41" s="63"/>
      <c r="J41" s="63"/>
      <c r="K41" s="63"/>
      <c r="L41" s="63"/>
      <c r="M41" s="63"/>
      <c r="N41" s="63"/>
      <c r="O41" s="63"/>
      <c r="P41" s="63"/>
      <c r="Q41" s="63"/>
      <c r="R41" s="63"/>
      <c r="S41" s="63"/>
      <c r="T41" s="63"/>
      <c r="U41" s="63"/>
      <c r="V41" s="63"/>
      <c r="W41" s="63"/>
      <c r="X41" s="63"/>
      <c r="Y41" s="63"/>
      <c r="Z41" s="63"/>
    </row>
    <row r="42">
      <c r="A42" s="63"/>
      <c r="B42" s="78"/>
      <c r="C42" s="63"/>
      <c r="D42" s="63"/>
      <c r="E42" s="63"/>
      <c r="F42" s="63"/>
      <c r="G42" s="63"/>
      <c r="H42" s="63"/>
      <c r="I42" s="63"/>
      <c r="J42" s="63"/>
      <c r="K42" s="63"/>
      <c r="L42" s="63"/>
      <c r="M42" s="63"/>
      <c r="N42" s="63"/>
      <c r="O42" s="63"/>
      <c r="P42" s="63"/>
      <c r="Q42" s="63"/>
      <c r="R42" s="63"/>
      <c r="S42" s="63"/>
      <c r="T42" s="63"/>
      <c r="U42" s="63"/>
      <c r="V42" s="63"/>
      <c r="W42" s="63"/>
      <c r="X42" s="63"/>
      <c r="Y42" s="63"/>
      <c r="Z42" s="63"/>
    </row>
    <row r="43">
      <c r="A43" s="63"/>
      <c r="B43" s="78"/>
      <c r="C43" s="63"/>
      <c r="D43" s="63"/>
      <c r="E43" s="63"/>
      <c r="F43" s="63"/>
      <c r="G43" s="63"/>
      <c r="H43" s="63"/>
      <c r="I43" s="63"/>
      <c r="J43" s="63"/>
      <c r="K43" s="63"/>
      <c r="L43" s="63"/>
      <c r="M43" s="63"/>
      <c r="N43" s="63"/>
      <c r="O43" s="63"/>
      <c r="P43" s="63"/>
      <c r="Q43" s="63"/>
      <c r="R43" s="63"/>
      <c r="S43" s="63"/>
      <c r="T43" s="63"/>
      <c r="U43" s="63"/>
      <c r="V43" s="63"/>
      <c r="W43" s="63"/>
      <c r="X43" s="63"/>
      <c r="Y43" s="63"/>
      <c r="Z43" s="63"/>
    </row>
    <row r="44">
      <c r="A44" s="63"/>
      <c r="B44" s="78"/>
      <c r="C44" s="63"/>
      <c r="D44" s="63"/>
      <c r="E44" s="63"/>
      <c r="F44" s="63"/>
      <c r="G44" s="63"/>
      <c r="H44" s="63"/>
      <c r="I44" s="63"/>
      <c r="J44" s="63"/>
      <c r="K44" s="63"/>
      <c r="L44" s="63"/>
      <c r="M44" s="63"/>
      <c r="N44" s="63"/>
      <c r="O44" s="63"/>
      <c r="P44" s="63"/>
      <c r="Q44" s="63"/>
      <c r="R44" s="63"/>
      <c r="S44" s="63"/>
      <c r="T44" s="63"/>
      <c r="U44" s="63"/>
      <c r="V44" s="63"/>
      <c r="W44" s="63"/>
      <c r="X44" s="63"/>
      <c r="Y44" s="63"/>
      <c r="Z44" s="63"/>
    </row>
    <row r="45">
      <c r="A45" s="63"/>
      <c r="B45" s="78"/>
      <c r="C45" s="63"/>
      <c r="D45" s="63"/>
      <c r="E45" s="63"/>
      <c r="F45" s="63"/>
      <c r="G45" s="63"/>
      <c r="H45" s="63"/>
      <c r="I45" s="63"/>
      <c r="J45" s="63"/>
      <c r="K45" s="63"/>
      <c r="L45" s="63"/>
      <c r="M45" s="63"/>
      <c r="N45" s="63"/>
      <c r="O45" s="63"/>
      <c r="P45" s="63"/>
      <c r="Q45" s="63"/>
      <c r="R45" s="63"/>
      <c r="S45" s="63"/>
      <c r="T45" s="63"/>
      <c r="U45" s="63"/>
      <c r="V45" s="63"/>
      <c r="W45" s="63"/>
      <c r="X45" s="63"/>
      <c r="Y45" s="63"/>
      <c r="Z45" s="63"/>
    </row>
    <row r="46">
      <c r="A46" s="63"/>
      <c r="B46" s="78"/>
      <c r="C46" s="63"/>
      <c r="D46" s="63"/>
      <c r="E46" s="63"/>
      <c r="F46" s="63"/>
      <c r="G46" s="63"/>
      <c r="H46" s="63"/>
      <c r="I46" s="63"/>
      <c r="J46" s="63"/>
      <c r="K46" s="63"/>
      <c r="L46" s="63"/>
      <c r="M46" s="63"/>
      <c r="N46" s="63"/>
      <c r="O46" s="63"/>
      <c r="P46" s="63"/>
      <c r="Q46" s="63"/>
      <c r="R46" s="63"/>
      <c r="S46" s="63"/>
      <c r="T46" s="63"/>
      <c r="U46" s="63"/>
      <c r="V46" s="63"/>
      <c r="W46" s="63"/>
      <c r="X46" s="63"/>
      <c r="Y46" s="63"/>
      <c r="Z46" s="63"/>
    </row>
    <row r="47">
      <c r="A47" s="63"/>
      <c r="B47" s="78"/>
      <c r="C47" s="63"/>
      <c r="D47" s="63"/>
      <c r="E47" s="63"/>
      <c r="F47" s="63"/>
      <c r="G47" s="63"/>
      <c r="H47" s="63"/>
      <c r="I47" s="63"/>
      <c r="J47" s="63"/>
      <c r="K47" s="63"/>
      <c r="L47" s="63"/>
      <c r="M47" s="63"/>
      <c r="N47" s="63"/>
      <c r="O47" s="63"/>
      <c r="P47" s="63"/>
      <c r="Q47" s="63"/>
      <c r="R47" s="63"/>
      <c r="S47" s="63"/>
      <c r="T47" s="63"/>
      <c r="U47" s="63"/>
      <c r="V47" s="63"/>
      <c r="W47" s="63"/>
      <c r="X47" s="63"/>
      <c r="Y47" s="63"/>
      <c r="Z47" s="63"/>
    </row>
    <row r="48">
      <c r="A48" s="63"/>
      <c r="B48" s="78"/>
      <c r="C48" s="63"/>
      <c r="D48" s="63"/>
      <c r="E48" s="63"/>
      <c r="F48" s="63"/>
      <c r="G48" s="63"/>
      <c r="P48" s="63"/>
      <c r="Q48" s="63"/>
      <c r="R48" s="63"/>
      <c r="S48" s="63"/>
      <c r="T48" s="63"/>
      <c r="U48" s="63"/>
      <c r="V48" s="63"/>
      <c r="W48" s="63"/>
      <c r="X48" s="63"/>
      <c r="Y48" s="63"/>
      <c r="Z48" s="63"/>
    </row>
    <row r="49">
      <c r="A49" s="63"/>
      <c r="B49" s="78"/>
      <c r="C49" s="63"/>
      <c r="D49" s="63"/>
      <c r="E49" s="63"/>
      <c r="F49" s="63"/>
      <c r="G49" s="63"/>
      <c r="K49" s="63" t="s">
        <v>129</v>
      </c>
      <c r="L49" s="75" t="s">
        <v>143</v>
      </c>
      <c r="M49" s="75" t="s">
        <v>144</v>
      </c>
      <c r="N49" s="75" t="s">
        <v>145</v>
      </c>
      <c r="O49" s="75" t="s">
        <v>146</v>
      </c>
      <c r="P49" s="75" t="s">
        <v>147</v>
      </c>
      <c r="Q49" s="75" t="s">
        <v>148</v>
      </c>
      <c r="R49" s="63" t="s">
        <v>133</v>
      </c>
      <c r="S49" s="63"/>
      <c r="T49" s="63"/>
      <c r="U49" s="63"/>
      <c r="V49" s="63"/>
      <c r="W49" s="63"/>
      <c r="X49" s="63"/>
      <c r="Y49" s="63"/>
      <c r="Z49" s="63"/>
    </row>
    <row r="50">
      <c r="A50" s="63"/>
      <c r="B50" s="78"/>
      <c r="C50" s="63"/>
      <c r="D50" s="63"/>
      <c r="E50" s="63"/>
      <c r="F50" s="63"/>
      <c r="G50" s="63"/>
      <c r="J50" s="19" t="s">
        <v>149</v>
      </c>
      <c r="K50" s="79">
        <f t="shared" ref="K50:R50" si="6">AVERAGE(K8,K14,K20)</f>
        <v>0.9120666667</v>
      </c>
      <c r="L50" s="79">
        <f t="shared" si="6"/>
        <v>0.9454333333</v>
      </c>
      <c r="M50" s="79">
        <f t="shared" si="6"/>
        <v>0.7709733333</v>
      </c>
      <c r="N50" s="79">
        <f t="shared" si="6"/>
        <v>0.9459866667</v>
      </c>
      <c r="O50" s="79">
        <f t="shared" si="6"/>
        <v>0.7681533333</v>
      </c>
      <c r="P50" s="79">
        <f t="shared" si="6"/>
        <v>0.94568</v>
      </c>
      <c r="Q50" s="79">
        <f t="shared" si="6"/>
        <v>0.7691266667</v>
      </c>
      <c r="R50" s="79">
        <f t="shared" si="6"/>
        <v>0.9435466667</v>
      </c>
      <c r="S50" s="63"/>
      <c r="T50" s="63"/>
      <c r="U50" s="63"/>
      <c r="V50" s="63"/>
      <c r="W50" s="63"/>
      <c r="X50" s="63"/>
      <c r="Y50" s="63"/>
      <c r="Z50" s="63"/>
    </row>
    <row r="51">
      <c r="A51" s="63"/>
      <c r="B51" s="78"/>
      <c r="C51" s="63"/>
      <c r="D51" s="63"/>
      <c r="E51" s="63"/>
      <c r="F51" s="63"/>
      <c r="G51" s="63"/>
      <c r="J51" s="19" t="s">
        <v>150</v>
      </c>
      <c r="K51" s="79">
        <f t="shared" ref="K51:R51" si="7">AVERAGE(K27,K33,K39)</f>
        <v>0.7802666667</v>
      </c>
      <c r="L51" s="79" t="str">
        <f t="shared" si="7"/>
        <v>#DIV/0!</v>
      </c>
      <c r="M51" s="79">
        <f t="shared" si="7"/>
        <v>0.7331333333</v>
      </c>
      <c r="N51" s="79" t="str">
        <f t="shared" si="7"/>
        <v>#DIV/0!</v>
      </c>
      <c r="O51" s="79" t="str">
        <f t="shared" si="7"/>
        <v>#DIV/0!</v>
      </c>
      <c r="P51" s="79" t="str">
        <f t="shared" si="7"/>
        <v>#DIV/0!</v>
      </c>
      <c r="Q51" s="79" t="str">
        <f t="shared" si="7"/>
        <v>#DIV/0!</v>
      </c>
      <c r="R51" s="79" t="str">
        <f t="shared" si="7"/>
        <v>#DIV/0!</v>
      </c>
      <c r="S51" s="63"/>
      <c r="T51" s="63"/>
      <c r="U51" s="63"/>
      <c r="V51" s="63"/>
      <c r="W51" s="63"/>
      <c r="X51" s="63"/>
      <c r="Y51" s="63"/>
      <c r="Z51" s="63"/>
    </row>
    <row r="52">
      <c r="A52" s="63"/>
      <c r="B52" s="78"/>
      <c r="C52" s="63"/>
      <c r="D52" s="63"/>
      <c r="E52" s="63"/>
      <c r="F52" s="63"/>
      <c r="G52" s="63"/>
      <c r="H52" s="63"/>
      <c r="I52" s="63"/>
      <c r="J52" s="63"/>
      <c r="K52" s="80">
        <f t="shared" ref="K52:R52" si="8">K50-K51</f>
        <v>0.1318</v>
      </c>
      <c r="L52" s="80" t="str">
        <f t="shared" si="8"/>
        <v>#DIV/0!</v>
      </c>
      <c r="M52" s="80">
        <f t="shared" si="8"/>
        <v>0.03784</v>
      </c>
      <c r="N52" s="80" t="str">
        <f t="shared" si="8"/>
        <v>#DIV/0!</v>
      </c>
      <c r="O52" s="80" t="str">
        <f t="shared" si="8"/>
        <v>#DIV/0!</v>
      </c>
      <c r="P52" s="80" t="str">
        <f t="shared" si="8"/>
        <v>#DIV/0!</v>
      </c>
      <c r="Q52" s="80" t="str">
        <f t="shared" si="8"/>
        <v>#DIV/0!</v>
      </c>
      <c r="R52" s="80" t="str">
        <f t="shared" si="8"/>
        <v>#DIV/0!</v>
      </c>
      <c r="S52" s="63"/>
      <c r="T52" s="63"/>
      <c r="U52" s="63"/>
      <c r="V52" s="63"/>
      <c r="W52" s="63"/>
      <c r="X52" s="63"/>
      <c r="Y52" s="63"/>
      <c r="Z52" s="63"/>
    </row>
    <row r="53">
      <c r="A53" s="63"/>
      <c r="B53" s="78"/>
      <c r="C53" s="63"/>
      <c r="D53" s="63"/>
      <c r="E53" s="63"/>
      <c r="F53" s="63"/>
      <c r="G53" s="63"/>
      <c r="H53" s="63"/>
      <c r="I53" s="63"/>
      <c r="J53" s="63"/>
      <c r="K53" s="63"/>
      <c r="L53" s="63"/>
      <c r="M53" s="63"/>
      <c r="N53" s="63"/>
      <c r="O53" s="63"/>
      <c r="P53" s="63"/>
      <c r="Q53" s="63"/>
      <c r="R53" s="63"/>
      <c r="S53" s="63"/>
      <c r="T53" s="63"/>
      <c r="U53" s="63"/>
      <c r="V53" s="63"/>
      <c r="W53" s="63"/>
      <c r="X53" s="63"/>
      <c r="Y53" s="63"/>
      <c r="Z53" s="63"/>
    </row>
    <row r="54">
      <c r="A54" s="63"/>
      <c r="B54" s="78"/>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3"/>
      <c r="B55" s="78"/>
      <c r="C55" s="63"/>
      <c r="D55" s="63"/>
      <c r="E55" s="63"/>
      <c r="F55" s="63"/>
      <c r="G55" s="63"/>
      <c r="H55" s="63"/>
      <c r="I55" s="63"/>
      <c r="J55" s="63"/>
      <c r="K55" s="63"/>
      <c r="L55" s="63"/>
      <c r="M55" s="63"/>
      <c r="N55" s="63"/>
      <c r="O55" s="63"/>
      <c r="P55" s="63"/>
      <c r="Q55" s="63"/>
      <c r="R55" s="63"/>
      <c r="S55" s="63"/>
      <c r="T55" s="63"/>
      <c r="U55" s="63"/>
      <c r="V55" s="63"/>
      <c r="W55" s="63"/>
      <c r="X55" s="63"/>
      <c r="Y55" s="63"/>
      <c r="Z55" s="63"/>
    </row>
    <row r="56">
      <c r="A56" s="63"/>
      <c r="B56" s="78"/>
      <c r="C56" s="63"/>
      <c r="D56" s="63"/>
      <c r="E56" s="63"/>
      <c r="F56" s="63"/>
      <c r="G56" s="63"/>
      <c r="H56" s="63"/>
      <c r="I56" s="63"/>
      <c r="J56" s="63"/>
      <c r="K56" s="63"/>
      <c r="L56" s="63"/>
      <c r="M56" s="63"/>
      <c r="N56" s="63"/>
      <c r="O56" s="63"/>
      <c r="P56" s="63"/>
      <c r="Q56" s="63"/>
      <c r="R56" s="63"/>
      <c r="S56" s="63"/>
      <c r="T56" s="63"/>
      <c r="U56" s="63"/>
      <c r="V56" s="63"/>
      <c r="W56" s="63"/>
      <c r="X56" s="63"/>
      <c r="Y56" s="63"/>
      <c r="Z56" s="63"/>
    </row>
    <row r="57">
      <c r="A57" s="63"/>
      <c r="B57" s="78"/>
      <c r="C57" s="63"/>
      <c r="D57" s="63"/>
      <c r="E57" s="63"/>
      <c r="F57" s="63"/>
      <c r="G57" s="63"/>
      <c r="H57" s="63"/>
      <c r="I57" s="63"/>
      <c r="J57" s="63"/>
      <c r="K57" s="63"/>
      <c r="L57" s="63"/>
      <c r="M57" s="63"/>
      <c r="N57" s="63"/>
      <c r="O57" s="63"/>
      <c r="P57" s="63"/>
      <c r="Q57" s="63"/>
      <c r="R57" s="63"/>
      <c r="S57" s="63"/>
      <c r="T57" s="63"/>
      <c r="U57" s="63"/>
      <c r="V57" s="63"/>
      <c r="W57" s="63"/>
      <c r="X57" s="63"/>
      <c r="Y57" s="63"/>
      <c r="Z57" s="63"/>
    </row>
    <row r="58">
      <c r="A58" s="63"/>
      <c r="B58" s="78"/>
      <c r="C58" s="63"/>
      <c r="D58" s="63"/>
      <c r="E58" s="63"/>
      <c r="F58" s="63"/>
      <c r="G58" s="63"/>
      <c r="H58" s="63"/>
      <c r="I58" s="63"/>
      <c r="J58" s="63"/>
      <c r="K58" s="63"/>
      <c r="L58" s="63"/>
      <c r="M58" s="63"/>
      <c r="N58" s="63"/>
      <c r="O58" s="63"/>
      <c r="P58" s="63"/>
      <c r="Q58" s="63"/>
      <c r="R58" s="63"/>
      <c r="S58" s="63"/>
      <c r="T58" s="63"/>
      <c r="U58" s="63"/>
      <c r="V58" s="63"/>
      <c r="W58" s="63"/>
      <c r="X58" s="63"/>
      <c r="Y58" s="63"/>
      <c r="Z58" s="63"/>
    </row>
    <row r="59">
      <c r="A59" s="63"/>
      <c r="B59" s="78"/>
      <c r="C59" s="63"/>
      <c r="D59" s="63"/>
      <c r="E59" s="63"/>
      <c r="F59" s="63"/>
      <c r="G59" s="63"/>
      <c r="H59" s="63"/>
      <c r="I59" s="63"/>
      <c r="J59" s="63"/>
      <c r="K59" s="63"/>
      <c r="L59" s="63"/>
      <c r="M59" s="63"/>
      <c r="N59" s="63"/>
      <c r="O59" s="63"/>
      <c r="P59" s="63"/>
      <c r="Q59" s="63"/>
      <c r="R59" s="63"/>
      <c r="S59" s="63"/>
      <c r="T59" s="63"/>
      <c r="U59" s="63"/>
      <c r="V59" s="63"/>
      <c r="W59" s="63"/>
      <c r="X59" s="63"/>
      <c r="Y59" s="63"/>
      <c r="Z59" s="63"/>
    </row>
    <row r="60">
      <c r="A60" s="63"/>
      <c r="B60" s="78"/>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3"/>
      <c r="B61" s="78"/>
      <c r="C61" s="63"/>
      <c r="D61" s="63"/>
      <c r="E61" s="63"/>
      <c r="F61" s="63"/>
      <c r="G61" s="63"/>
      <c r="H61" s="63"/>
      <c r="I61" s="63"/>
      <c r="J61" s="63"/>
      <c r="K61" s="63"/>
      <c r="L61" s="63"/>
      <c r="M61" s="63"/>
      <c r="N61" s="63"/>
      <c r="O61" s="63"/>
      <c r="P61" s="63"/>
      <c r="Q61" s="63"/>
      <c r="R61" s="63"/>
      <c r="S61" s="63"/>
      <c r="T61" s="63"/>
      <c r="U61" s="63"/>
      <c r="V61" s="63"/>
      <c r="W61" s="63"/>
      <c r="X61" s="63"/>
      <c r="Y61" s="63"/>
      <c r="Z61" s="63"/>
    </row>
    <row r="62">
      <c r="A62" s="63"/>
      <c r="B62" s="78"/>
      <c r="C62" s="63"/>
      <c r="D62" s="63"/>
      <c r="E62" s="63"/>
      <c r="F62" s="63"/>
      <c r="G62" s="63"/>
      <c r="H62" s="63"/>
      <c r="I62" s="63"/>
      <c r="J62" s="63"/>
      <c r="K62" s="63"/>
      <c r="L62" s="63"/>
      <c r="M62" s="63"/>
      <c r="N62" s="63"/>
      <c r="O62" s="63"/>
      <c r="P62" s="63"/>
      <c r="Q62" s="63"/>
      <c r="R62" s="63"/>
      <c r="S62" s="63"/>
      <c r="T62" s="63"/>
      <c r="U62" s="63"/>
      <c r="V62" s="63"/>
      <c r="W62" s="63"/>
      <c r="X62" s="63"/>
      <c r="Y62" s="63"/>
      <c r="Z62" s="63"/>
    </row>
    <row r="63">
      <c r="A63" s="63"/>
      <c r="B63" s="78"/>
      <c r="C63" s="63"/>
      <c r="D63" s="63"/>
      <c r="E63" s="63"/>
      <c r="F63" s="63"/>
      <c r="G63" s="63"/>
      <c r="H63" s="63"/>
      <c r="I63" s="63"/>
      <c r="J63" s="63"/>
      <c r="K63" s="63"/>
      <c r="L63" s="63"/>
      <c r="M63" s="63"/>
      <c r="N63" s="63"/>
      <c r="O63" s="63"/>
      <c r="P63" s="63"/>
      <c r="Q63" s="63"/>
      <c r="R63" s="63"/>
      <c r="S63" s="63"/>
      <c r="T63" s="63"/>
      <c r="U63" s="63"/>
      <c r="V63" s="63"/>
      <c r="W63" s="63"/>
      <c r="X63" s="63"/>
      <c r="Y63" s="63"/>
      <c r="Z63" s="63"/>
    </row>
    <row r="64">
      <c r="A64" s="63"/>
      <c r="B64" s="78"/>
      <c r="C64" s="63"/>
      <c r="D64" s="63"/>
      <c r="E64" s="63"/>
      <c r="F64" s="63"/>
      <c r="G64" s="63"/>
      <c r="H64" s="63"/>
      <c r="I64" s="63"/>
      <c r="J64" s="63"/>
      <c r="K64" s="63"/>
      <c r="L64" s="63"/>
      <c r="M64" s="63"/>
      <c r="N64" s="63"/>
      <c r="O64" s="63"/>
      <c r="P64" s="63"/>
      <c r="Q64" s="63"/>
      <c r="R64" s="63"/>
      <c r="S64" s="63"/>
      <c r="T64" s="63"/>
      <c r="U64" s="63"/>
      <c r="V64" s="63"/>
      <c r="W64" s="63"/>
      <c r="X64" s="63"/>
      <c r="Y64" s="63"/>
      <c r="Z64" s="63"/>
    </row>
    <row r="65">
      <c r="A65" s="63"/>
      <c r="B65" s="78"/>
      <c r="C65" s="63"/>
      <c r="D65" s="63"/>
      <c r="E65" s="63"/>
      <c r="F65" s="63"/>
      <c r="G65" s="63"/>
      <c r="H65" s="63"/>
      <c r="I65" s="63"/>
      <c r="J65" s="63"/>
      <c r="K65" s="63"/>
      <c r="L65" s="63"/>
      <c r="M65" s="63"/>
      <c r="N65" s="63"/>
      <c r="O65" s="63"/>
      <c r="P65" s="63"/>
      <c r="Q65" s="63"/>
      <c r="R65" s="63"/>
      <c r="S65" s="63"/>
      <c r="T65" s="63"/>
      <c r="U65" s="63"/>
      <c r="V65" s="63"/>
      <c r="W65" s="63"/>
      <c r="X65" s="63"/>
      <c r="Y65" s="63"/>
      <c r="Z65" s="63"/>
    </row>
    <row r="66">
      <c r="A66" s="63"/>
      <c r="B66" s="78"/>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78"/>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3"/>
      <c r="B68" s="78"/>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3"/>
      <c r="B69" s="78"/>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3"/>
      <c r="B70" s="78"/>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3"/>
      <c r="B71" s="78"/>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3"/>
      <c r="B72" s="78"/>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78"/>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3"/>
      <c r="B74" s="78"/>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3"/>
      <c r="B75" s="78"/>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3"/>
      <c r="B76" s="78"/>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3"/>
      <c r="B77" s="78"/>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78"/>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3"/>
      <c r="B79" s="78"/>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3"/>
      <c r="B80" s="78"/>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3"/>
      <c r="B81" s="78"/>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3"/>
      <c r="B82" s="78"/>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3"/>
      <c r="B83" s="78"/>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3"/>
      <c r="B84" s="78"/>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3"/>
      <c r="B85" s="78"/>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3"/>
      <c r="B86" s="78"/>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3"/>
      <c r="B87" s="78"/>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3"/>
      <c r="B88" s="78"/>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3"/>
      <c r="B89" s="78"/>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3"/>
      <c r="B90" s="78"/>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3"/>
      <c r="B91" s="78"/>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3"/>
      <c r="B92" s="78"/>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3"/>
      <c r="B93" s="78"/>
      <c r="C93" s="63"/>
      <c r="D93" s="63"/>
      <c r="E93" s="63"/>
      <c r="F93" s="63"/>
      <c r="G93" s="63"/>
      <c r="H93" s="63"/>
      <c r="I93" s="63"/>
      <c r="J93" s="63"/>
      <c r="K93" s="63"/>
      <c r="L93" s="63"/>
      <c r="M93" s="63"/>
      <c r="N93" s="63"/>
      <c r="O93" s="63"/>
      <c r="P93" s="63"/>
      <c r="Q93" s="63"/>
      <c r="R93" s="63"/>
      <c r="S93" s="63"/>
      <c r="T93" s="63"/>
      <c r="U93" s="63"/>
      <c r="V93" s="63"/>
      <c r="W93" s="63"/>
      <c r="X93" s="63"/>
      <c r="Y93" s="63"/>
      <c r="Z93" s="63"/>
    </row>
    <row r="94">
      <c r="A94" s="63"/>
      <c r="B94" s="78"/>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3"/>
      <c r="B95" s="78"/>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78"/>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3"/>
      <c r="B97" s="78"/>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3"/>
      <c r="B98" s="78"/>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3"/>
      <c r="B99" s="78"/>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78"/>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78"/>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78"/>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78"/>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78"/>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78"/>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78"/>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78"/>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78"/>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78"/>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78"/>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78"/>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78"/>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78"/>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78"/>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78"/>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78"/>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78"/>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78"/>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78"/>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78"/>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78"/>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78"/>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78"/>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78"/>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78"/>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78"/>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78"/>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78"/>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78"/>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78"/>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78"/>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78"/>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78"/>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78"/>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78"/>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78"/>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78"/>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78"/>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78"/>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78"/>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78"/>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78"/>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78"/>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78"/>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78"/>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78"/>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78"/>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78"/>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78"/>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78"/>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78"/>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78"/>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78"/>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78"/>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78"/>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78"/>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78"/>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78"/>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78"/>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78"/>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78"/>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78"/>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78"/>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78"/>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78"/>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78"/>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78"/>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78"/>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78"/>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78"/>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78"/>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78"/>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78"/>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78"/>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78"/>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78"/>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78"/>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78"/>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78"/>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78"/>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78"/>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78"/>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78"/>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78"/>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78"/>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78"/>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78"/>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78"/>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78"/>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78"/>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78"/>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78"/>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78"/>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78"/>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78"/>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78"/>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78"/>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78"/>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78"/>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78"/>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78"/>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78"/>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78"/>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78"/>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78"/>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78"/>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78"/>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78"/>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78"/>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78"/>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78"/>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78"/>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78"/>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78"/>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78"/>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78"/>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78"/>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78"/>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78"/>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78"/>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78"/>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78"/>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78"/>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78"/>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78"/>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78"/>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78"/>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78"/>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78"/>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78"/>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78"/>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78"/>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78"/>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78"/>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78"/>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78"/>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78"/>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78"/>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78"/>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78"/>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78"/>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78"/>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78"/>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78"/>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78"/>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78"/>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78"/>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78"/>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78"/>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78"/>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78"/>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78"/>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78"/>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78"/>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78"/>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78"/>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78"/>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78"/>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78"/>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78"/>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78"/>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78"/>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78"/>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78"/>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78"/>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78"/>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78"/>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78"/>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78"/>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78"/>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78"/>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78"/>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78"/>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78"/>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78"/>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78"/>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78"/>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78"/>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78"/>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78"/>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78"/>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78"/>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78"/>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78"/>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78"/>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78"/>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78"/>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78"/>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78"/>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78"/>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78"/>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78"/>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78"/>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78"/>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78"/>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78"/>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78"/>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78"/>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78"/>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78"/>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78"/>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78"/>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78"/>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78"/>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78"/>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78"/>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78"/>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78"/>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78"/>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78"/>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78"/>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78"/>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78"/>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78"/>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78"/>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78"/>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78"/>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78"/>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78"/>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78"/>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78"/>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78"/>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78"/>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78"/>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78"/>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78"/>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78"/>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78"/>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78"/>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78"/>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78"/>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78"/>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78"/>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78"/>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78"/>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78"/>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78"/>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78"/>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78"/>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78"/>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78"/>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78"/>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78"/>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78"/>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78"/>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78"/>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78"/>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78"/>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78"/>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78"/>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78"/>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78"/>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78"/>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78"/>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78"/>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78"/>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78"/>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78"/>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78"/>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78"/>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78"/>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78"/>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78"/>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78"/>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78"/>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78"/>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78"/>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78"/>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78"/>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78"/>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78"/>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78"/>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78"/>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78"/>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78"/>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78"/>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78"/>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78"/>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78"/>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78"/>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78"/>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78"/>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78"/>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78"/>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78"/>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78"/>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78"/>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78"/>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78"/>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78"/>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78"/>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78"/>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78"/>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78"/>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78"/>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78"/>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78"/>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78"/>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78"/>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78"/>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78"/>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78"/>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78"/>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78"/>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78"/>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78"/>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78"/>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78"/>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78"/>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78"/>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78"/>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78"/>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78"/>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78"/>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78"/>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78"/>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78"/>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78"/>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78"/>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78"/>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78"/>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78"/>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78"/>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78"/>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78"/>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78"/>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78"/>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78"/>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78"/>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78"/>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78"/>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78"/>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78"/>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78"/>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78"/>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78"/>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78"/>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78"/>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78"/>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78"/>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78"/>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78"/>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78"/>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78"/>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78"/>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78"/>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78"/>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78"/>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78"/>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78"/>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78"/>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78"/>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78"/>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78"/>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78"/>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78"/>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78"/>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78"/>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78"/>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78"/>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78"/>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78"/>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78"/>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78"/>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78"/>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78"/>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78"/>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78"/>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78"/>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78"/>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78"/>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78"/>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78"/>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78"/>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78"/>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78"/>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78"/>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78"/>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78"/>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78"/>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78"/>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78"/>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78"/>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78"/>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78"/>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78"/>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78"/>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78"/>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78"/>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78"/>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78"/>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78"/>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78"/>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78"/>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78"/>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78"/>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78"/>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78"/>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78"/>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78"/>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78"/>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78"/>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78"/>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78"/>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78"/>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78"/>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78"/>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78"/>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78"/>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78"/>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78"/>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78"/>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78"/>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78"/>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78"/>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78"/>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78"/>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78"/>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78"/>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78"/>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78"/>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78"/>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78"/>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78"/>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78"/>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78"/>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78"/>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78"/>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78"/>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78"/>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78"/>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78"/>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78"/>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78"/>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78"/>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78"/>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78"/>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78"/>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78"/>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78"/>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78"/>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78"/>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78"/>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78"/>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78"/>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78"/>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78"/>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78"/>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78"/>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78"/>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78"/>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78"/>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78"/>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78"/>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78"/>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78"/>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78"/>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78"/>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78"/>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78"/>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78"/>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78"/>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78"/>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78"/>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78"/>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78"/>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78"/>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78"/>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78"/>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78"/>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78"/>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78"/>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78"/>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78"/>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78"/>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78"/>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78"/>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78"/>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78"/>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78"/>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78"/>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78"/>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78"/>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78"/>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78"/>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78"/>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78"/>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78"/>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78"/>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78"/>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78"/>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78"/>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78"/>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78"/>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78"/>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78"/>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78"/>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78"/>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78"/>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78"/>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78"/>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78"/>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78"/>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78"/>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78"/>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78"/>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78"/>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78"/>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78"/>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78"/>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78"/>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78"/>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78"/>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78"/>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78"/>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78"/>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78"/>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78"/>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78"/>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78"/>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78"/>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78"/>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78"/>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78"/>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78"/>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78"/>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78"/>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78"/>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78"/>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78"/>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78"/>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78"/>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78"/>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78"/>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78"/>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78"/>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78"/>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78"/>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78"/>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78"/>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78"/>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78"/>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78"/>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78"/>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78"/>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78"/>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78"/>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78"/>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78"/>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78"/>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78"/>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78"/>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78"/>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78"/>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78"/>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78"/>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78"/>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78"/>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78"/>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78"/>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78"/>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78"/>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78"/>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78"/>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78"/>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78"/>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78"/>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78"/>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78"/>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78"/>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78"/>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78"/>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78"/>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78"/>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78"/>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78"/>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78"/>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78"/>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78"/>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78"/>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78"/>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78"/>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78"/>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78"/>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78"/>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78"/>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78"/>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78"/>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78"/>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78"/>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78"/>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78"/>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78"/>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78"/>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78"/>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78"/>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78"/>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78"/>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78"/>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78"/>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78"/>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78"/>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78"/>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78"/>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78"/>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78"/>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78"/>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78"/>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78"/>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78"/>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78"/>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78"/>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78"/>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78"/>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78"/>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78"/>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78"/>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78"/>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78"/>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78"/>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78"/>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78"/>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78"/>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78"/>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78"/>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78"/>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78"/>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78"/>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78"/>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78"/>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78"/>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78"/>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78"/>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78"/>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78"/>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78"/>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78"/>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78"/>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78"/>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78"/>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78"/>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78"/>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78"/>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78"/>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78"/>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78"/>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78"/>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78"/>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78"/>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78"/>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78"/>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78"/>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78"/>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78"/>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78"/>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78"/>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78"/>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78"/>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78"/>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78"/>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78"/>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78"/>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78"/>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78"/>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78"/>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78"/>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78"/>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78"/>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78"/>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78"/>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78"/>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78"/>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78"/>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78"/>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78"/>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78"/>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78"/>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78"/>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78"/>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78"/>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78"/>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78"/>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78"/>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78"/>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78"/>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78"/>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78"/>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78"/>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78"/>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78"/>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78"/>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78"/>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78"/>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78"/>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78"/>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78"/>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78"/>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78"/>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78"/>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78"/>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78"/>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78"/>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78"/>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78"/>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78"/>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78"/>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78"/>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78"/>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78"/>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78"/>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78"/>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78"/>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78"/>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78"/>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78"/>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78"/>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78"/>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78"/>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78"/>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78"/>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78"/>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78"/>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78"/>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78"/>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78"/>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78"/>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78"/>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78"/>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78"/>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78"/>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78"/>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78"/>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78"/>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78"/>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78"/>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78"/>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78"/>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78"/>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78"/>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78"/>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78"/>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78"/>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78"/>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78"/>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78"/>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78"/>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78"/>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78"/>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78"/>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78"/>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78"/>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78"/>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78"/>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78"/>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78"/>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78"/>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78"/>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78"/>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78"/>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78"/>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78"/>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78"/>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78"/>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78"/>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78"/>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78"/>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78"/>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78"/>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78"/>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78"/>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78"/>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78"/>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78"/>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78"/>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78"/>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78"/>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78"/>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78"/>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78"/>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78"/>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78"/>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78"/>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78"/>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78"/>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78"/>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78"/>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78"/>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78"/>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78"/>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78"/>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78"/>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78"/>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78"/>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78"/>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78"/>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78"/>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78"/>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78"/>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78"/>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78"/>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78"/>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78"/>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78"/>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78"/>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78"/>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78"/>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78"/>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78"/>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78"/>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78"/>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78"/>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78"/>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78"/>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78"/>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78"/>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78"/>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78"/>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78"/>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78"/>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78"/>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78"/>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78"/>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78"/>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78"/>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78"/>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78"/>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78"/>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78"/>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78"/>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78"/>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78"/>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78"/>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78"/>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78"/>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78"/>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78"/>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78"/>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78"/>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78"/>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78"/>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78"/>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78"/>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78"/>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78"/>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78"/>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78"/>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78"/>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78"/>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78"/>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78"/>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78"/>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78"/>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78"/>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78"/>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78"/>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78"/>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78"/>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78"/>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78"/>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78"/>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78"/>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78"/>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78"/>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78"/>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78"/>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78"/>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78"/>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78"/>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78"/>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78"/>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78"/>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78"/>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78"/>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78"/>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78"/>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78"/>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78"/>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78"/>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78"/>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78"/>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78"/>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78"/>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78"/>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78"/>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78"/>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78"/>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78"/>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78"/>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78"/>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78"/>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78"/>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78"/>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78"/>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78"/>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78"/>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78"/>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78"/>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78"/>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78"/>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78"/>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27">
    <mergeCell ref="H2:I2"/>
    <mergeCell ref="L13:M13"/>
    <mergeCell ref="N13:O13"/>
    <mergeCell ref="P13:Q13"/>
    <mergeCell ref="A1:A2"/>
    <mergeCell ref="B1:B2"/>
    <mergeCell ref="C1:J1"/>
    <mergeCell ref="D2:E2"/>
    <mergeCell ref="F2:G2"/>
    <mergeCell ref="A3:A8"/>
    <mergeCell ref="A9:A14"/>
    <mergeCell ref="A22:A27"/>
    <mergeCell ref="A28:A33"/>
    <mergeCell ref="A34:A39"/>
    <mergeCell ref="L32:M32"/>
    <mergeCell ref="N32:O32"/>
    <mergeCell ref="P32:Q32"/>
    <mergeCell ref="L38:M38"/>
    <mergeCell ref="N38:O38"/>
    <mergeCell ref="P38:Q38"/>
    <mergeCell ref="A15:A20"/>
    <mergeCell ref="L19:M19"/>
    <mergeCell ref="N19:O19"/>
    <mergeCell ref="P19:Q19"/>
    <mergeCell ref="A21:J21"/>
    <mergeCell ref="N26:O26"/>
    <mergeCell ref="P26:Q26"/>
  </mergeCells>
  <dataValidations>
    <dataValidation type="list" allowBlank="1" showErrorMessage="1" sqref="B3:B20 B22:B1000">
      <formula1>"TANPA AUGMENTASI,EDA,SMOTE,BACK TRANSLATION,MASKING,PARAPHRASE GENERATION,SYNTHETIC AUGMENTATION"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0.5"/>
  </cols>
  <sheetData>
    <row r="1">
      <c r="A1" s="81" t="s">
        <v>101</v>
      </c>
      <c r="B1" s="58" t="s">
        <v>126</v>
      </c>
      <c r="C1" s="59" t="s">
        <v>127</v>
      </c>
      <c r="D1" s="60" t="s">
        <v>128</v>
      </c>
      <c r="E1" s="61"/>
      <c r="F1" s="61"/>
      <c r="G1" s="61"/>
      <c r="H1" s="61"/>
      <c r="I1" s="61"/>
      <c r="J1" s="61"/>
      <c r="K1" s="62"/>
    </row>
    <row r="2">
      <c r="A2" s="82"/>
      <c r="B2" s="64"/>
      <c r="C2" s="65"/>
      <c r="D2" s="58" t="s">
        <v>129</v>
      </c>
      <c r="E2" s="66" t="s">
        <v>130</v>
      </c>
      <c r="F2" s="67"/>
      <c r="G2" s="66" t="s">
        <v>131</v>
      </c>
      <c r="H2" s="67"/>
      <c r="I2" s="66" t="s">
        <v>132</v>
      </c>
      <c r="J2" s="67"/>
      <c r="K2" s="68" t="s">
        <v>133</v>
      </c>
    </row>
    <row r="3">
      <c r="A3" s="81" t="s">
        <v>151</v>
      </c>
      <c r="B3" s="69" t="s">
        <v>35</v>
      </c>
      <c r="C3" s="70" t="s">
        <v>134</v>
      </c>
      <c r="D3" s="71">
        <v>0.916</v>
      </c>
      <c r="E3" s="71">
        <v>0.935</v>
      </c>
      <c r="F3" s="71">
        <v>0.8208</v>
      </c>
      <c r="G3" s="71">
        <v>0.9632</v>
      </c>
      <c r="H3" s="71">
        <v>0.7158</v>
      </c>
      <c r="I3" s="71">
        <v>0.9489</v>
      </c>
      <c r="J3" s="71">
        <v>0.7647</v>
      </c>
      <c r="K3" s="71">
        <v>0.951</v>
      </c>
    </row>
    <row r="4">
      <c r="B4" s="72"/>
      <c r="C4" s="73" t="s">
        <v>135</v>
      </c>
      <c r="D4" s="74">
        <v>0.9114</v>
      </c>
      <c r="E4" s="74">
        <v>0.9422</v>
      </c>
      <c r="F4" s="74">
        <v>0.7761</v>
      </c>
      <c r="G4" s="74">
        <v>0.9488</v>
      </c>
      <c r="H4" s="74">
        <v>0.753</v>
      </c>
      <c r="I4" s="74">
        <v>0.9455</v>
      </c>
      <c r="J4" s="74">
        <v>0.7644</v>
      </c>
      <c r="K4" s="74">
        <v>0.9455</v>
      </c>
      <c r="L4" s="63">
        <f t="shared" ref="L4:L8" si="1">average(H4,H10,H16)</f>
        <v>0.7748</v>
      </c>
      <c r="N4" s="63">
        <f t="shared" ref="N4:N8" si="2">average(J4,J10,J16)</f>
        <v>0.7426333333</v>
      </c>
    </row>
    <row r="5">
      <c r="B5" s="72"/>
      <c r="C5" s="73" t="s">
        <v>136</v>
      </c>
      <c r="D5" s="74">
        <v>0.9182</v>
      </c>
      <c r="E5" s="74">
        <v>0.9476</v>
      </c>
      <c r="F5" s="74">
        <v>0.7909</v>
      </c>
      <c r="G5" s="74">
        <v>0.9516</v>
      </c>
      <c r="H5" s="74">
        <v>0.7768</v>
      </c>
      <c r="I5" s="74">
        <v>0.9496</v>
      </c>
      <c r="J5" s="74">
        <v>0.7838</v>
      </c>
      <c r="K5" s="74">
        <v>0.9554</v>
      </c>
      <c r="L5" s="63">
        <f t="shared" si="1"/>
        <v>0.7817333333</v>
      </c>
      <c r="N5" s="63">
        <f t="shared" si="2"/>
        <v>0.7273</v>
      </c>
    </row>
    <row r="6">
      <c r="B6" s="72"/>
      <c r="C6" s="73" t="s">
        <v>137</v>
      </c>
      <c r="D6" s="74">
        <v>0.916</v>
      </c>
      <c r="E6" s="74">
        <v>0.9443</v>
      </c>
      <c r="F6" s="74">
        <v>0.7901</v>
      </c>
      <c r="G6" s="74">
        <v>0.9523</v>
      </c>
      <c r="H6" s="74">
        <v>0.7619</v>
      </c>
      <c r="I6" s="74">
        <v>0.9483</v>
      </c>
      <c r="J6" s="74">
        <v>0.7758</v>
      </c>
      <c r="K6" s="74">
        <v>0.9466</v>
      </c>
      <c r="L6" s="63">
        <f t="shared" si="1"/>
        <v>0.7842</v>
      </c>
      <c r="N6" s="63">
        <f t="shared" si="2"/>
        <v>0.7412</v>
      </c>
    </row>
    <row r="7">
      <c r="B7" s="72"/>
      <c r="C7" s="73" t="s">
        <v>138</v>
      </c>
      <c r="D7" s="74">
        <v>0.9137</v>
      </c>
      <c r="E7" s="74">
        <v>0.9417</v>
      </c>
      <c r="F7" s="74">
        <v>0.7875</v>
      </c>
      <c r="G7" s="74">
        <v>0.9523</v>
      </c>
      <c r="H7" s="74">
        <v>0.75</v>
      </c>
      <c r="I7" s="74">
        <v>0.947</v>
      </c>
      <c r="J7" s="74">
        <v>0.7683</v>
      </c>
      <c r="K7" s="74">
        <v>0.9481</v>
      </c>
      <c r="L7" s="63">
        <f t="shared" si="1"/>
        <v>0.8036</v>
      </c>
      <c r="N7" s="63">
        <f t="shared" si="2"/>
        <v>0.7093666667</v>
      </c>
    </row>
    <row r="8">
      <c r="B8" s="64"/>
      <c r="C8" s="76" t="s">
        <v>139</v>
      </c>
      <c r="D8" s="68">
        <v>0.9148</v>
      </c>
      <c r="E8" s="68">
        <v>0.948</v>
      </c>
      <c r="F8" s="68">
        <v>0.7751</v>
      </c>
      <c r="G8" s="68">
        <v>0.9467</v>
      </c>
      <c r="H8" s="68">
        <v>0.7798</v>
      </c>
      <c r="I8" s="68">
        <v>0.9473</v>
      </c>
      <c r="J8" s="68">
        <v>0.7774</v>
      </c>
      <c r="K8" s="68">
        <v>0.9451</v>
      </c>
      <c r="L8" s="63">
        <f t="shared" si="1"/>
        <v>0.7783</v>
      </c>
      <c r="N8" s="63">
        <f t="shared" si="2"/>
        <v>0.7504666667</v>
      </c>
    </row>
    <row r="9">
      <c r="B9" s="69" t="s">
        <v>86</v>
      </c>
      <c r="C9" s="70" t="s">
        <v>134</v>
      </c>
      <c r="D9" s="71">
        <v>0.8984</v>
      </c>
      <c r="E9" s="71">
        <v>0.9431</v>
      </c>
      <c r="F9" s="71">
        <v>0.7211</v>
      </c>
      <c r="G9" s="71">
        <v>0.9306</v>
      </c>
      <c r="H9" s="71">
        <v>0.7619</v>
      </c>
      <c r="I9" s="71">
        <v>0.9368</v>
      </c>
      <c r="J9" s="71">
        <v>0.741</v>
      </c>
      <c r="K9" s="71">
        <v>0.9217</v>
      </c>
      <c r="L9" s="19" t="s">
        <v>138</v>
      </c>
      <c r="N9" s="19" t="s">
        <v>142</v>
      </c>
    </row>
    <row r="10">
      <c r="B10" s="72"/>
      <c r="C10" s="73" t="s">
        <v>135</v>
      </c>
      <c r="D10" s="74">
        <v>0.849</v>
      </c>
      <c r="E10" s="74">
        <v>0.9528</v>
      </c>
      <c r="F10" s="74">
        <v>0.5728</v>
      </c>
      <c r="G10" s="74">
        <v>0.8558</v>
      </c>
      <c r="H10" s="74">
        <v>0.8199</v>
      </c>
      <c r="I10" s="74">
        <v>0.9017</v>
      </c>
      <c r="J10" s="74">
        <v>0.6744</v>
      </c>
      <c r="K10" s="74">
        <v>0.9071</v>
      </c>
      <c r="L10" s="19" t="s">
        <v>152</v>
      </c>
      <c r="N10" s="19" t="s">
        <v>135</v>
      </c>
    </row>
    <row r="11">
      <c r="B11" s="72"/>
      <c r="C11" s="73" t="s">
        <v>136</v>
      </c>
      <c r="D11" s="74">
        <v>0.8121</v>
      </c>
      <c r="E11" s="74">
        <v>0.9422</v>
      </c>
      <c r="F11" s="74">
        <v>0.5048</v>
      </c>
      <c r="G11" s="74">
        <v>0.818</v>
      </c>
      <c r="H11" s="74">
        <v>0.7872</v>
      </c>
      <c r="I11" s="74">
        <v>0.8757</v>
      </c>
      <c r="J11" s="74">
        <v>0.6151</v>
      </c>
      <c r="K11" s="74">
        <v>0.8702</v>
      </c>
    </row>
    <row r="12">
      <c r="B12" s="72"/>
      <c r="C12" s="73" t="s">
        <v>137</v>
      </c>
      <c r="D12" s="74">
        <v>0.8322</v>
      </c>
      <c r="E12" s="74">
        <v>0.9431</v>
      </c>
      <c r="F12" s="74">
        <v>0.5416</v>
      </c>
      <c r="G12" s="74">
        <v>0.8436</v>
      </c>
      <c r="H12" s="74">
        <v>0.7842</v>
      </c>
      <c r="I12" s="74">
        <v>0.8906</v>
      </c>
      <c r="J12" s="74">
        <v>0.6407</v>
      </c>
      <c r="K12" s="74">
        <v>0.8901</v>
      </c>
    </row>
    <row r="13">
      <c r="B13" s="72"/>
      <c r="C13" s="73" t="s">
        <v>138</v>
      </c>
      <c r="D13" s="74">
        <v>0.7301</v>
      </c>
      <c r="E13" s="74">
        <v>0.9648</v>
      </c>
      <c r="F13" s="74">
        <v>0.4057</v>
      </c>
      <c r="G13" s="74">
        <v>0.6917</v>
      </c>
      <c r="H13" s="74">
        <v>0.8929</v>
      </c>
      <c r="I13" s="74">
        <v>0.8057</v>
      </c>
      <c r="J13" s="74">
        <v>0.5579</v>
      </c>
      <c r="K13" s="74">
        <v>0.9035</v>
      </c>
    </row>
    <row r="14">
      <c r="B14" s="64"/>
      <c r="C14" s="73" t="s">
        <v>139</v>
      </c>
      <c r="D14" s="74">
        <v>0.8609</v>
      </c>
      <c r="E14" s="74">
        <v>0.9413</v>
      </c>
      <c r="F14" s="74">
        <v>0.6073</v>
      </c>
      <c r="G14" s="74">
        <v>0.8832</v>
      </c>
      <c r="H14" s="74">
        <v>0.7664</v>
      </c>
      <c r="I14" s="74">
        <v>0.9113</v>
      </c>
      <c r="J14" s="74">
        <v>0.6776</v>
      </c>
      <c r="K14" s="74">
        <v>0.9017</v>
      </c>
    </row>
    <row r="15">
      <c r="B15" s="69" t="s">
        <v>140</v>
      </c>
      <c r="C15" s="70" t="s">
        <v>134</v>
      </c>
      <c r="D15" s="71">
        <v>0.931</v>
      </c>
      <c r="E15" s="71">
        <v>0.9518</v>
      </c>
      <c r="F15" s="71">
        <v>0.8367</v>
      </c>
      <c r="G15" s="71">
        <v>0.9635</v>
      </c>
      <c r="H15" s="71">
        <v>0.7932</v>
      </c>
      <c r="I15" s="71">
        <v>0.9576</v>
      </c>
      <c r="J15" s="71">
        <v>0.8144</v>
      </c>
      <c r="K15" s="71">
        <v>0.9597</v>
      </c>
    </row>
    <row r="16">
      <c r="B16" s="72"/>
      <c r="C16" s="73" t="s">
        <v>135</v>
      </c>
      <c r="D16" s="74">
        <v>0.9234</v>
      </c>
      <c r="E16" s="74">
        <v>0.9427</v>
      </c>
      <c r="F16" s="74">
        <v>0.8306</v>
      </c>
      <c r="G16" s="74">
        <v>0.9639</v>
      </c>
      <c r="H16" s="74">
        <v>0.7515</v>
      </c>
      <c r="I16" s="74">
        <v>0.9532</v>
      </c>
      <c r="J16" s="74">
        <v>0.7891</v>
      </c>
      <c r="K16" s="74">
        <v>0.9395</v>
      </c>
    </row>
    <row r="17">
      <c r="B17" s="72"/>
      <c r="C17" s="73" t="s">
        <v>136</v>
      </c>
      <c r="D17" s="74">
        <v>0.9174</v>
      </c>
      <c r="E17" s="74">
        <v>0.9485</v>
      </c>
      <c r="F17" s="74">
        <v>0.7848</v>
      </c>
      <c r="G17" s="74">
        <v>0.9495</v>
      </c>
      <c r="H17" s="74">
        <v>0.7812</v>
      </c>
      <c r="I17" s="74">
        <v>0.949</v>
      </c>
      <c r="J17" s="74">
        <v>0.783</v>
      </c>
      <c r="K17" s="74">
        <v>0.9399</v>
      </c>
    </row>
    <row r="18">
      <c r="B18" s="72"/>
      <c r="C18" s="73" t="s">
        <v>137</v>
      </c>
      <c r="D18" s="74">
        <v>0.9265</v>
      </c>
      <c r="E18" s="74">
        <v>0.9544</v>
      </c>
      <c r="F18" s="74">
        <v>0.8077</v>
      </c>
      <c r="G18" s="74">
        <v>0.9548</v>
      </c>
      <c r="H18" s="74">
        <v>0.8065</v>
      </c>
      <c r="I18" s="74">
        <v>0.9546</v>
      </c>
      <c r="J18" s="74">
        <v>0.8071</v>
      </c>
      <c r="K18" s="74">
        <v>0.9265</v>
      </c>
    </row>
    <row r="19">
      <c r="B19" s="72"/>
      <c r="C19" s="73" t="s">
        <v>138</v>
      </c>
      <c r="D19" s="74">
        <v>0.9276</v>
      </c>
      <c r="E19" s="74">
        <v>0.9464</v>
      </c>
      <c r="F19" s="74">
        <v>0.839</v>
      </c>
      <c r="G19" s="74">
        <v>0.9653</v>
      </c>
      <c r="H19" s="74">
        <v>0.7679</v>
      </c>
      <c r="I19" s="74">
        <v>0.9557</v>
      </c>
      <c r="J19" s="74">
        <v>0.8019</v>
      </c>
      <c r="K19" s="74">
        <v>0.9383</v>
      </c>
    </row>
    <row r="20">
      <c r="A20" s="83"/>
      <c r="B20" s="84"/>
      <c r="C20" s="85" t="s">
        <v>139</v>
      </c>
      <c r="D20" s="86">
        <v>0.9231</v>
      </c>
      <c r="E20" s="86">
        <v>0.9504</v>
      </c>
      <c r="F20" s="86">
        <v>0.8042</v>
      </c>
      <c r="G20" s="86">
        <v>0.9548</v>
      </c>
      <c r="H20" s="86">
        <v>0.7887</v>
      </c>
      <c r="I20" s="86">
        <v>0.9526</v>
      </c>
      <c r="J20" s="86">
        <v>0.7964</v>
      </c>
      <c r="K20" s="86">
        <v>0.9507</v>
      </c>
    </row>
    <row r="21">
      <c r="A21" s="81" t="s">
        <v>153</v>
      </c>
      <c r="B21" s="87" t="s">
        <v>35</v>
      </c>
      <c r="C21" s="88" t="s">
        <v>134</v>
      </c>
      <c r="D21" s="89">
        <v>0.916</v>
      </c>
      <c r="E21" s="89">
        <v>0.935</v>
      </c>
      <c r="F21" s="89">
        <v>0.8208</v>
      </c>
      <c r="G21" s="89">
        <v>0.9632</v>
      </c>
      <c r="H21" s="89">
        <v>0.7158</v>
      </c>
      <c r="I21" s="89">
        <v>0.9489</v>
      </c>
      <c r="J21" s="89">
        <v>0.7647</v>
      </c>
      <c r="K21" s="89">
        <v>0.951</v>
      </c>
    </row>
    <row r="22">
      <c r="B22" s="72"/>
      <c r="C22" s="73" t="s">
        <v>135</v>
      </c>
      <c r="D22" s="74">
        <v>0.9125</v>
      </c>
      <c r="E22" s="74">
        <v>0.9429</v>
      </c>
      <c r="F22" s="74">
        <v>0.7791</v>
      </c>
      <c r="G22" s="74">
        <v>0.9495</v>
      </c>
      <c r="H22" s="74">
        <v>0.756</v>
      </c>
      <c r="I22" s="74">
        <v>0.9462</v>
      </c>
      <c r="J22" s="74">
        <v>0.7674</v>
      </c>
      <c r="K22" s="74">
        <v>0.9431</v>
      </c>
      <c r="L22" s="63">
        <f t="shared" ref="L22:L26" si="3">average(H22,H28,H34)</f>
        <v>0.7812666667</v>
      </c>
      <c r="N22" s="63">
        <f t="shared" ref="N22:N26" si="4">average(J22,J28,J34)</f>
        <v>0.7205</v>
      </c>
    </row>
    <row r="23">
      <c r="B23" s="72"/>
      <c r="C23" s="73" t="s">
        <v>136</v>
      </c>
      <c r="D23" s="74">
        <v>0.9188</v>
      </c>
      <c r="E23" s="74">
        <v>0.9501</v>
      </c>
      <c r="F23" s="74">
        <v>0.7864</v>
      </c>
      <c r="G23" s="74">
        <v>0.9495</v>
      </c>
      <c r="H23" s="74">
        <v>0.7887</v>
      </c>
      <c r="I23" s="74">
        <v>0.9498</v>
      </c>
      <c r="J23" s="74">
        <v>0.7875</v>
      </c>
      <c r="K23" s="74">
        <v>0.9535</v>
      </c>
      <c r="L23" s="63">
        <f t="shared" si="3"/>
        <v>0.7807333333</v>
      </c>
      <c r="N23" s="63">
        <f t="shared" si="4"/>
        <v>0.7513333333</v>
      </c>
    </row>
    <row r="24">
      <c r="B24" s="72"/>
      <c r="C24" s="73" t="s">
        <v>137</v>
      </c>
      <c r="D24" s="74">
        <v>0.9131</v>
      </c>
      <c r="E24" s="74">
        <v>0.9454</v>
      </c>
      <c r="F24" s="74">
        <v>0.7748</v>
      </c>
      <c r="G24" s="74">
        <v>0.9474</v>
      </c>
      <c r="H24" s="74">
        <v>0.7679</v>
      </c>
      <c r="I24" s="74">
        <v>0.9464</v>
      </c>
      <c r="J24" s="74">
        <v>0.7713</v>
      </c>
      <c r="K24" s="74">
        <v>0.9461</v>
      </c>
      <c r="L24" s="63">
        <f t="shared" si="3"/>
        <v>0.7926666667</v>
      </c>
      <c r="N24" s="63">
        <f t="shared" si="4"/>
        <v>0.7302333333</v>
      </c>
    </row>
    <row r="25">
      <c r="B25" s="72"/>
      <c r="C25" s="73" t="s">
        <v>138</v>
      </c>
      <c r="D25" s="74">
        <v>0.9177</v>
      </c>
      <c r="E25" s="74">
        <v>0.942</v>
      </c>
      <c r="F25" s="74">
        <v>0.8051</v>
      </c>
      <c r="G25" s="74">
        <v>0.9572</v>
      </c>
      <c r="H25" s="74">
        <v>0.75</v>
      </c>
      <c r="I25" s="74">
        <v>0.9495</v>
      </c>
      <c r="J25" s="74">
        <v>0.7766</v>
      </c>
      <c r="K25" s="74">
        <v>0.9454</v>
      </c>
      <c r="L25" s="63">
        <f t="shared" si="3"/>
        <v>0.8035666667</v>
      </c>
      <c r="N25" s="63">
        <f t="shared" si="4"/>
        <v>0.7057666667</v>
      </c>
    </row>
    <row r="26">
      <c r="B26" s="90"/>
      <c r="C26" s="76" t="s">
        <v>139</v>
      </c>
      <c r="D26" s="68">
        <v>0.9125</v>
      </c>
      <c r="E26" s="68">
        <v>0.9498</v>
      </c>
      <c r="F26" s="68">
        <v>0.7615</v>
      </c>
      <c r="G26" s="68">
        <v>0.9418</v>
      </c>
      <c r="H26" s="68">
        <v>0.7887</v>
      </c>
      <c r="I26" s="68">
        <v>0.9457</v>
      </c>
      <c r="J26" s="68">
        <v>0.7749</v>
      </c>
      <c r="K26" s="68">
        <v>0.9442</v>
      </c>
      <c r="L26" s="63">
        <f t="shared" si="3"/>
        <v>0.7921666667</v>
      </c>
      <c r="N26" s="63">
        <f t="shared" si="4"/>
        <v>0.7366</v>
      </c>
    </row>
    <row r="27">
      <c r="B27" s="87" t="s">
        <v>86</v>
      </c>
      <c r="C27" s="70" t="s">
        <v>134</v>
      </c>
      <c r="D27" s="71">
        <v>0.8984</v>
      </c>
      <c r="E27" s="71">
        <v>0.9431</v>
      </c>
      <c r="F27" s="71">
        <v>0.7211</v>
      </c>
      <c r="G27" s="71">
        <v>0.9306</v>
      </c>
      <c r="H27" s="71">
        <v>0.7619</v>
      </c>
      <c r="I27" s="71">
        <v>0.9368</v>
      </c>
      <c r="J27" s="71">
        <v>0.741</v>
      </c>
      <c r="K27" s="71">
        <v>0.9217</v>
      </c>
      <c r="L27" s="19" t="s">
        <v>138</v>
      </c>
      <c r="N27" s="19" t="s">
        <v>136</v>
      </c>
    </row>
    <row r="28">
      <c r="B28" s="72"/>
      <c r="C28" s="73" t="s">
        <v>135</v>
      </c>
      <c r="D28" s="74">
        <v>0.8007</v>
      </c>
      <c r="E28" s="74">
        <v>0.9528</v>
      </c>
      <c r="F28" s="74">
        <v>0.487</v>
      </c>
      <c r="G28" s="74">
        <v>0.7931</v>
      </c>
      <c r="H28" s="74">
        <v>0.8333</v>
      </c>
      <c r="I28" s="74">
        <v>0.8656</v>
      </c>
      <c r="J28" s="74">
        <v>0.6147</v>
      </c>
      <c r="K28" s="74">
        <v>0.8972</v>
      </c>
      <c r="L28" s="19" t="s">
        <v>152</v>
      </c>
      <c r="N28" s="19" t="s">
        <v>142</v>
      </c>
    </row>
    <row r="29">
      <c r="B29" s="72"/>
      <c r="C29" s="73" t="s">
        <v>136</v>
      </c>
      <c r="D29" s="74">
        <v>0.8609</v>
      </c>
      <c r="E29" s="74">
        <v>0.9477</v>
      </c>
      <c r="F29" s="74">
        <v>0.6027</v>
      </c>
      <c r="G29" s="74">
        <v>0.8765</v>
      </c>
      <c r="H29" s="74">
        <v>0.7946</v>
      </c>
      <c r="I29" s="74">
        <v>0.9107</v>
      </c>
      <c r="J29" s="74">
        <v>0.6855</v>
      </c>
      <c r="K29" s="74">
        <v>0.9056</v>
      </c>
    </row>
    <row r="30">
      <c r="B30" s="72"/>
      <c r="C30" s="73" t="s">
        <v>137</v>
      </c>
      <c r="D30" s="74">
        <v>0.7988</v>
      </c>
      <c r="E30" s="74">
        <v>0.9481</v>
      </c>
      <c r="F30" s="74">
        <v>0.4837</v>
      </c>
      <c r="G30" s="74">
        <v>0.7948</v>
      </c>
      <c r="H30" s="74">
        <v>0.8155</v>
      </c>
      <c r="I30" s="74">
        <v>0.8647</v>
      </c>
      <c r="J30" s="74">
        <v>0.6072</v>
      </c>
      <c r="K30" s="74">
        <v>0.8904</v>
      </c>
    </row>
    <row r="31">
      <c r="B31" s="72"/>
      <c r="C31" s="73" t="s">
        <v>138</v>
      </c>
      <c r="D31" s="74">
        <v>0.725</v>
      </c>
      <c r="E31" s="75">
        <v>0.9577</v>
      </c>
      <c r="F31" s="74">
        <v>0.3988</v>
      </c>
      <c r="G31" s="74">
        <v>0.6906</v>
      </c>
      <c r="H31" s="74">
        <v>0.8705</v>
      </c>
      <c r="I31" s="74">
        <v>0.8025</v>
      </c>
      <c r="J31" s="74">
        <v>0.547</v>
      </c>
      <c r="K31" s="74">
        <v>0.8844</v>
      </c>
    </row>
    <row r="32">
      <c r="B32" s="90"/>
      <c r="C32" s="73" t="s">
        <v>139</v>
      </c>
      <c r="D32" s="74">
        <v>0.832</v>
      </c>
      <c r="E32" s="74">
        <v>0.9414</v>
      </c>
      <c r="F32" s="74">
        <v>0.5415</v>
      </c>
      <c r="G32" s="74">
        <v>0.845</v>
      </c>
      <c r="H32" s="74">
        <v>0.7768</v>
      </c>
      <c r="I32" s="74">
        <v>0.8906</v>
      </c>
      <c r="J32" s="74">
        <v>0.6381</v>
      </c>
      <c r="K32" s="74">
        <v>0.8791</v>
      </c>
    </row>
    <row r="33">
      <c r="B33" s="87" t="s">
        <v>140</v>
      </c>
      <c r="C33" s="70" t="s">
        <v>134</v>
      </c>
      <c r="D33" s="71">
        <v>0.931</v>
      </c>
      <c r="E33" s="71">
        <v>0.9518</v>
      </c>
      <c r="F33" s="71">
        <v>0.8367</v>
      </c>
      <c r="G33" s="71">
        <v>0.9635</v>
      </c>
      <c r="H33" s="71">
        <v>0.7932</v>
      </c>
      <c r="I33" s="71">
        <v>0.9576</v>
      </c>
      <c r="J33" s="71">
        <v>0.8144</v>
      </c>
      <c r="K33" s="71">
        <v>0.9597</v>
      </c>
    </row>
    <row r="34">
      <c r="B34" s="72"/>
      <c r="C34" s="73" t="s">
        <v>135</v>
      </c>
      <c r="D34" s="74">
        <v>0.9185</v>
      </c>
      <c r="E34" s="74">
        <v>0.943</v>
      </c>
      <c r="F34" s="74">
        <v>0.806</v>
      </c>
      <c r="G34" s="74">
        <v>0.9572</v>
      </c>
      <c r="H34" s="74">
        <v>0.7545</v>
      </c>
      <c r="I34" s="74">
        <v>0.95</v>
      </c>
      <c r="J34" s="74">
        <v>0.7794</v>
      </c>
      <c r="K34" s="74">
        <v>0.9401</v>
      </c>
    </row>
    <row r="35">
      <c r="B35" s="72"/>
      <c r="C35" s="73" t="s">
        <v>136</v>
      </c>
      <c r="D35" s="74">
        <v>0.9188</v>
      </c>
      <c r="E35" s="74">
        <v>0.9439</v>
      </c>
      <c r="F35" s="74">
        <v>0.8044</v>
      </c>
      <c r="G35" s="74">
        <v>0.9565</v>
      </c>
      <c r="H35" s="74">
        <v>0.7589</v>
      </c>
      <c r="I35" s="74">
        <v>0.9502</v>
      </c>
      <c r="J35" s="74">
        <v>0.781</v>
      </c>
      <c r="K35" s="74">
        <v>0.9346</v>
      </c>
    </row>
    <row r="36">
      <c r="B36" s="72"/>
      <c r="C36" s="73" t="s">
        <v>137</v>
      </c>
      <c r="D36" s="74">
        <v>0.9299</v>
      </c>
      <c r="E36" s="74">
        <v>0.9521</v>
      </c>
      <c r="F36" s="74">
        <v>0.8305</v>
      </c>
      <c r="G36" s="74">
        <v>0.9618</v>
      </c>
      <c r="H36" s="74">
        <v>0.7946</v>
      </c>
      <c r="I36" s="74">
        <v>0.9569</v>
      </c>
      <c r="J36" s="74">
        <v>0.8122</v>
      </c>
      <c r="K36" s="74">
        <v>0.9446</v>
      </c>
    </row>
    <row r="37">
      <c r="B37" s="72"/>
      <c r="C37" s="73" t="s">
        <v>138</v>
      </c>
      <c r="D37" s="74">
        <v>0.9217</v>
      </c>
      <c r="E37" s="74">
        <v>0.9506</v>
      </c>
      <c r="F37" s="74">
        <v>0.7973</v>
      </c>
      <c r="G37" s="74">
        <v>0.9526</v>
      </c>
      <c r="H37" s="74">
        <v>0.7902</v>
      </c>
      <c r="I37" s="74">
        <v>0.9516</v>
      </c>
      <c r="J37" s="74">
        <v>0.7937</v>
      </c>
      <c r="K37" s="74">
        <v>0.9444</v>
      </c>
    </row>
    <row r="38">
      <c r="A38" s="82"/>
      <c r="B38" s="90"/>
      <c r="C38" s="91" t="s">
        <v>139</v>
      </c>
      <c r="D38" s="92">
        <v>0.9211</v>
      </c>
      <c r="E38" s="92">
        <v>0.9551</v>
      </c>
      <c r="F38" s="92">
        <v>0.783</v>
      </c>
      <c r="G38" s="92">
        <v>0.947</v>
      </c>
      <c r="H38" s="92">
        <v>0.811</v>
      </c>
      <c r="I38" s="92">
        <v>0.951</v>
      </c>
      <c r="J38" s="92">
        <v>0.7968</v>
      </c>
      <c r="K38" s="92">
        <v>0.9471</v>
      </c>
    </row>
    <row r="39">
      <c r="A39" s="81" t="s">
        <v>154</v>
      </c>
      <c r="B39" s="58" t="s">
        <v>35</v>
      </c>
      <c r="C39" s="73" t="s">
        <v>134</v>
      </c>
      <c r="D39" s="74">
        <v>0.916</v>
      </c>
      <c r="E39" s="74">
        <v>0.935</v>
      </c>
      <c r="F39" s="74">
        <v>0.8208</v>
      </c>
      <c r="G39" s="74">
        <v>0.9632</v>
      </c>
      <c r="H39" s="74">
        <v>0.7158</v>
      </c>
      <c r="I39" s="74">
        <v>0.9489</v>
      </c>
      <c r="J39" s="74">
        <v>0.7647</v>
      </c>
      <c r="K39" s="74">
        <v>0.951</v>
      </c>
    </row>
    <row r="40">
      <c r="B40" s="72"/>
      <c r="C40" s="73" t="s">
        <v>135</v>
      </c>
      <c r="D40" s="74">
        <v>0.9058</v>
      </c>
      <c r="E40" s="74">
        <v>0.9415</v>
      </c>
      <c r="F40" s="74">
        <v>0.7537</v>
      </c>
      <c r="G40" s="74">
        <v>0.9421</v>
      </c>
      <c r="H40" s="74">
        <v>0.7515</v>
      </c>
      <c r="I40" s="74">
        <v>0.9418</v>
      </c>
      <c r="J40" s="74">
        <v>0.7526</v>
      </c>
      <c r="K40" s="74">
        <v>0.9408</v>
      </c>
      <c r="L40" s="63">
        <f t="shared" ref="L40:L44" si="5">average(H40,H46,H52)</f>
        <v>0.8060666667</v>
      </c>
      <c r="N40" s="63">
        <f t="shared" ref="N40:N44" si="6">average(J40,J46,J52)</f>
        <v>0.7157666667</v>
      </c>
    </row>
    <row r="41">
      <c r="B41" s="72"/>
      <c r="C41" s="73" t="s">
        <v>136</v>
      </c>
      <c r="D41" s="74">
        <v>0.9177</v>
      </c>
      <c r="E41" s="74">
        <v>0.9482</v>
      </c>
      <c r="F41" s="74">
        <v>0.7868</v>
      </c>
      <c r="G41" s="74">
        <v>0.9502</v>
      </c>
      <c r="H41" s="74">
        <v>0.7798</v>
      </c>
      <c r="I41" s="74">
        <v>0.9492</v>
      </c>
      <c r="J41" s="74">
        <v>0.7833</v>
      </c>
      <c r="K41" s="74">
        <v>0.9488</v>
      </c>
      <c r="L41" s="63">
        <f t="shared" si="5"/>
        <v>0.7931666667</v>
      </c>
      <c r="N41" s="63">
        <f t="shared" si="6"/>
        <v>0.7358666667</v>
      </c>
    </row>
    <row r="42">
      <c r="B42" s="72"/>
      <c r="C42" s="73" t="s">
        <v>137</v>
      </c>
      <c r="D42" s="74">
        <v>0.9077</v>
      </c>
      <c r="E42" s="74">
        <v>0.9385</v>
      </c>
      <c r="F42" s="74">
        <v>0.7698</v>
      </c>
      <c r="G42" s="74">
        <v>0.9481</v>
      </c>
      <c r="H42" s="74">
        <v>0.7366</v>
      </c>
      <c r="I42" s="74">
        <v>0.9433</v>
      </c>
      <c r="J42" s="74">
        <v>0.7529</v>
      </c>
      <c r="K42" s="74">
        <v>0.9408</v>
      </c>
      <c r="L42" s="63">
        <f t="shared" si="5"/>
        <v>0.7782666667</v>
      </c>
      <c r="N42" s="63">
        <f t="shared" si="6"/>
        <v>0.7323666667</v>
      </c>
    </row>
    <row r="43">
      <c r="B43" s="72"/>
      <c r="C43" s="73" t="s">
        <v>138</v>
      </c>
      <c r="D43" s="74">
        <v>0.91</v>
      </c>
      <c r="E43" s="74">
        <v>0.9393</v>
      </c>
      <c r="F43" s="74">
        <v>0.7778</v>
      </c>
      <c r="G43" s="74">
        <v>0.9502</v>
      </c>
      <c r="H43" s="74">
        <v>0.7396</v>
      </c>
      <c r="I43" s="74">
        <v>0.9447</v>
      </c>
      <c r="J43" s="74">
        <v>0.7582</v>
      </c>
      <c r="K43" s="74">
        <v>0.9433</v>
      </c>
      <c r="L43" s="63">
        <f t="shared" si="5"/>
        <v>0.7961333333</v>
      </c>
      <c r="N43" s="63">
        <f t="shared" si="6"/>
        <v>0.7046333333</v>
      </c>
    </row>
    <row r="44">
      <c r="B44" s="64"/>
      <c r="C44" s="76" t="s">
        <v>139</v>
      </c>
      <c r="D44" s="68">
        <v>0.9029</v>
      </c>
      <c r="E44" s="68">
        <v>0.9463</v>
      </c>
      <c r="F44" s="68">
        <v>0.7317</v>
      </c>
      <c r="G44" s="68">
        <v>0.933</v>
      </c>
      <c r="H44" s="68">
        <v>0.7753</v>
      </c>
      <c r="I44" s="68">
        <v>0.9396</v>
      </c>
      <c r="J44" s="68">
        <v>0.7529</v>
      </c>
      <c r="K44" s="68">
        <v>0.9368</v>
      </c>
      <c r="L44" s="63">
        <f t="shared" si="5"/>
        <v>0.7802666667</v>
      </c>
      <c r="N44" s="63">
        <f t="shared" si="6"/>
        <v>0.7331333333</v>
      </c>
    </row>
    <row r="45">
      <c r="B45" s="69" t="s">
        <v>86</v>
      </c>
      <c r="C45" s="70" t="s">
        <v>134</v>
      </c>
      <c r="D45" s="71">
        <v>0.8984</v>
      </c>
      <c r="E45" s="71">
        <v>0.9431</v>
      </c>
      <c r="F45" s="71">
        <v>0.7211</v>
      </c>
      <c r="G45" s="71">
        <v>0.9306</v>
      </c>
      <c r="H45" s="71">
        <v>0.7619</v>
      </c>
      <c r="I45" s="71">
        <v>0.9368</v>
      </c>
      <c r="J45" s="71">
        <v>0.741</v>
      </c>
      <c r="K45" s="71">
        <v>0.9217</v>
      </c>
      <c r="L45" s="19" t="s">
        <v>135</v>
      </c>
      <c r="N45" s="19" t="s">
        <v>136</v>
      </c>
    </row>
    <row r="46">
      <c r="B46" s="72"/>
      <c r="C46" s="73" t="s">
        <v>135</v>
      </c>
      <c r="D46" s="74">
        <v>0.8073</v>
      </c>
      <c r="E46" s="74">
        <v>0.9586</v>
      </c>
      <c r="F46" s="74">
        <v>0.497</v>
      </c>
      <c r="G46" s="74">
        <v>0.7962</v>
      </c>
      <c r="H46" s="74">
        <v>0.8542</v>
      </c>
      <c r="I46" s="74">
        <v>0.8699</v>
      </c>
      <c r="J46" s="74">
        <v>0.6284</v>
      </c>
      <c r="K46" s="74">
        <v>0.9072</v>
      </c>
      <c r="L46" s="19" t="s">
        <v>138</v>
      </c>
      <c r="N46" s="19" t="s">
        <v>142</v>
      </c>
    </row>
    <row r="47">
      <c r="B47" s="72"/>
      <c r="C47" s="73" t="s">
        <v>136</v>
      </c>
      <c r="D47" s="74">
        <v>0.8342</v>
      </c>
      <c r="E47" s="74">
        <v>0.944</v>
      </c>
      <c r="F47" s="74">
        <v>0.5454</v>
      </c>
      <c r="G47" s="74">
        <v>0.8453</v>
      </c>
      <c r="H47" s="74">
        <v>0.7872</v>
      </c>
      <c r="I47" s="74">
        <v>0.8919</v>
      </c>
      <c r="J47" s="74">
        <v>0.6443</v>
      </c>
      <c r="K47" s="74">
        <v>0.8895</v>
      </c>
    </row>
    <row r="48">
      <c r="B48" s="72"/>
      <c r="C48" s="73" t="s">
        <v>137</v>
      </c>
      <c r="D48" s="74">
        <v>0.8249</v>
      </c>
      <c r="E48" s="74">
        <v>0.9522</v>
      </c>
      <c r="F48" s="74">
        <v>0.5261</v>
      </c>
      <c r="G48" s="74">
        <v>0.825</v>
      </c>
      <c r="H48" s="74">
        <v>0.8244</v>
      </c>
      <c r="I48" s="74">
        <v>0.884</v>
      </c>
      <c r="J48" s="74">
        <v>0.6423</v>
      </c>
      <c r="K48" s="74">
        <v>0.9047</v>
      </c>
    </row>
    <row r="49">
      <c r="B49" s="72"/>
      <c r="C49" s="73" t="s">
        <v>138</v>
      </c>
      <c r="D49" s="74">
        <v>0.7329</v>
      </c>
      <c r="E49" s="75">
        <v>0.9556</v>
      </c>
      <c r="F49" s="74">
        <v>0.4057</v>
      </c>
      <c r="G49" s="74">
        <v>0.7026</v>
      </c>
      <c r="H49" s="74">
        <v>0.8616</v>
      </c>
      <c r="I49" s="74">
        <v>0.8098</v>
      </c>
      <c r="J49" s="74">
        <v>0.5517</v>
      </c>
      <c r="K49" s="74">
        <v>0.8834</v>
      </c>
    </row>
    <row r="50">
      <c r="B50" s="64"/>
      <c r="C50" s="73" t="s">
        <v>139</v>
      </c>
      <c r="D50" s="74">
        <v>0.8433</v>
      </c>
      <c r="E50" s="74">
        <v>0.9485</v>
      </c>
      <c r="F50" s="74">
        <v>0.5625</v>
      </c>
      <c r="G50" s="74">
        <v>0.8527</v>
      </c>
      <c r="H50" s="74">
        <v>0.8036</v>
      </c>
      <c r="I50" s="74">
        <v>0.898</v>
      </c>
      <c r="J50" s="74">
        <v>0.6618</v>
      </c>
      <c r="K50" s="74">
        <v>0.9033</v>
      </c>
    </row>
    <row r="51">
      <c r="B51" s="69" t="s">
        <v>140</v>
      </c>
      <c r="C51" s="70" t="s">
        <v>134</v>
      </c>
      <c r="D51" s="71">
        <v>0.931</v>
      </c>
      <c r="E51" s="71">
        <v>0.9518</v>
      </c>
      <c r="F51" s="71">
        <v>0.8367</v>
      </c>
      <c r="G51" s="71">
        <v>0.9635</v>
      </c>
      <c r="H51" s="71">
        <v>0.7932</v>
      </c>
      <c r="I51" s="71">
        <v>0.9576</v>
      </c>
      <c r="J51" s="71">
        <v>0.8144</v>
      </c>
      <c r="K51" s="71">
        <v>0.9597</v>
      </c>
    </row>
    <row r="52">
      <c r="B52" s="72"/>
      <c r="C52" s="73" t="s">
        <v>135</v>
      </c>
      <c r="D52" s="74">
        <v>0.9055</v>
      </c>
      <c r="E52" s="74">
        <v>0.9545</v>
      </c>
      <c r="F52" s="74">
        <v>0.7251</v>
      </c>
      <c r="G52" s="74">
        <v>0.9274</v>
      </c>
      <c r="H52" s="74">
        <v>0.8125</v>
      </c>
      <c r="I52" s="74">
        <v>0.9408</v>
      </c>
      <c r="J52" s="74">
        <v>0.7663</v>
      </c>
      <c r="K52" s="74">
        <v>0.9427</v>
      </c>
    </row>
    <row r="53">
      <c r="B53" s="72"/>
      <c r="C53" s="73" t="s">
        <v>136</v>
      </c>
      <c r="D53" s="74">
        <v>0.9126</v>
      </c>
      <c r="E53" s="74">
        <v>0.9549</v>
      </c>
      <c r="F53" s="74">
        <v>0.75</v>
      </c>
      <c r="G53" s="74">
        <v>0.9362</v>
      </c>
      <c r="H53" s="74">
        <v>0.8125</v>
      </c>
      <c r="I53" s="74">
        <v>0.9454</v>
      </c>
      <c r="J53" s="74">
        <v>0.78</v>
      </c>
      <c r="K53" s="74">
        <v>0.9476</v>
      </c>
    </row>
    <row r="54">
      <c r="B54" s="72"/>
      <c r="C54" s="73" t="s">
        <v>137</v>
      </c>
      <c r="D54" s="74">
        <v>0.9271</v>
      </c>
      <c r="E54" s="74">
        <v>0.9476</v>
      </c>
      <c r="F54" s="74">
        <v>0.832</v>
      </c>
      <c r="G54" s="74">
        <v>0.9632</v>
      </c>
      <c r="H54" s="74">
        <v>0.7738</v>
      </c>
      <c r="I54" s="74">
        <v>0.9553</v>
      </c>
      <c r="J54" s="74">
        <v>0.8019</v>
      </c>
      <c r="K54" s="74">
        <v>0.9439</v>
      </c>
    </row>
    <row r="55">
      <c r="B55" s="72"/>
      <c r="C55" s="73" t="s">
        <v>138</v>
      </c>
      <c r="D55" s="74">
        <v>0.9268</v>
      </c>
      <c r="E55" s="74">
        <v>0.9503</v>
      </c>
      <c r="F55" s="74">
        <v>0.8214</v>
      </c>
      <c r="G55" s="74">
        <v>0.9597</v>
      </c>
      <c r="H55" s="74">
        <v>0.7872</v>
      </c>
      <c r="I55" s="74">
        <v>0.955</v>
      </c>
      <c r="J55" s="74">
        <v>0.804</v>
      </c>
      <c r="K55" s="74">
        <v>0.9429</v>
      </c>
    </row>
    <row r="56">
      <c r="A56" s="82"/>
      <c r="B56" s="90"/>
      <c r="C56" s="91" t="s">
        <v>139</v>
      </c>
      <c r="D56" s="92">
        <v>0.9202</v>
      </c>
      <c r="E56" s="92">
        <v>0.9446</v>
      </c>
      <c r="F56" s="92">
        <v>0.8088</v>
      </c>
      <c r="G56" s="92">
        <v>0.9576</v>
      </c>
      <c r="H56" s="92">
        <v>0.7619</v>
      </c>
      <c r="I56" s="92">
        <v>0.9511</v>
      </c>
      <c r="J56" s="92">
        <v>0.7847</v>
      </c>
      <c r="K56" s="92">
        <v>0.9459</v>
      </c>
    </row>
    <row r="57">
      <c r="A57" s="81" t="s">
        <v>155</v>
      </c>
      <c r="B57" s="87" t="s">
        <v>35</v>
      </c>
      <c r="C57" s="88" t="s">
        <v>134</v>
      </c>
      <c r="D57" s="89">
        <v>0.9076</v>
      </c>
      <c r="E57" s="89">
        <v>0.9233</v>
      </c>
      <c r="F57" s="89">
        <v>0.8744</v>
      </c>
      <c r="G57" s="89">
        <v>0.9394</v>
      </c>
      <c r="H57" s="89">
        <v>0.8439</v>
      </c>
      <c r="I57" s="89">
        <v>0.9313</v>
      </c>
      <c r="J57" s="89">
        <v>0.8589</v>
      </c>
      <c r="K57" s="89">
        <v>0.9575</v>
      </c>
    </row>
    <row r="58">
      <c r="B58" s="72"/>
      <c r="C58" s="73" t="s">
        <v>135</v>
      </c>
      <c r="D58" s="74">
        <v>0.8914</v>
      </c>
      <c r="E58" s="74">
        <v>0.9247</v>
      </c>
      <c r="F58" s="74">
        <v>0.8277</v>
      </c>
      <c r="G58" s="74">
        <v>0.9114</v>
      </c>
      <c r="H58" s="74">
        <v>0.8515</v>
      </c>
      <c r="I58" s="74">
        <v>0.918</v>
      </c>
      <c r="J58" s="74">
        <v>0.8394</v>
      </c>
      <c r="K58" s="74">
        <v>0.9518</v>
      </c>
    </row>
    <row r="59">
      <c r="B59" s="72"/>
      <c r="C59" s="73" t="s">
        <v>136</v>
      </c>
      <c r="D59" s="74">
        <v>0.897</v>
      </c>
      <c r="E59" s="74">
        <v>0.9292</v>
      </c>
      <c r="F59" s="74">
        <v>0.8353</v>
      </c>
      <c r="G59" s="74">
        <v>0.9152</v>
      </c>
      <c r="H59" s="74">
        <v>0.8606</v>
      </c>
      <c r="I59" s="74">
        <v>0.9221</v>
      </c>
      <c r="J59" s="74">
        <v>0.8478</v>
      </c>
      <c r="K59" s="74">
        <v>0.9522</v>
      </c>
    </row>
    <row r="60">
      <c r="B60" s="72"/>
      <c r="C60" s="73" t="s">
        <v>137</v>
      </c>
      <c r="D60" s="74">
        <v>0.8944</v>
      </c>
      <c r="E60" s="74">
        <v>0.9224</v>
      </c>
      <c r="F60" s="74">
        <v>0.8391</v>
      </c>
      <c r="G60" s="74">
        <v>0.9189</v>
      </c>
      <c r="H60" s="74">
        <v>0.8455</v>
      </c>
      <c r="I60" s="74">
        <v>0.9207</v>
      </c>
      <c r="J60" s="74">
        <v>0.8423</v>
      </c>
      <c r="K60" s="74">
        <v>0.951</v>
      </c>
    </row>
    <row r="61">
      <c r="B61" s="72"/>
      <c r="C61" s="73" t="s">
        <v>138</v>
      </c>
      <c r="D61" s="74">
        <v>0.8914</v>
      </c>
      <c r="E61" s="74">
        <v>0.9195</v>
      </c>
      <c r="F61" s="74">
        <v>0.8356</v>
      </c>
      <c r="G61" s="74">
        <v>0.9174</v>
      </c>
      <c r="H61" s="74">
        <v>0.8394</v>
      </c>
      <c r="I61" s="74">
        <v>0.9185</v>
      </c>
      <c r="J61" s="74">
        <v>0.8375</v>
      </c>
      <c r="K61" s="74">
        <v>0.953</v>
      </c>
    </row>
    <row r="62">
      <c r="B62" s="90"/>
      <c r="C62" s="76" t="s">
        <v>139</v>
      </c>
      <c r="D62" s="68">
        <v>0.8899</v>
      </c>
      <c r="E62" s="68">
        <v>0.9285</v>
      </c>
      <c r="F62" s="68">
        <v>0.8184</v>
      </c>
      <c r="G62" s="68">
        <v>0.9045</v>
      </c>
      <c r="H62" s="68">
        <v>0.8606</v>
      </c>
      <c r="I62" s="68">
        <v>0.9163</v>
      </c>
      <c r="J62" s="68">
        <v>0.839</v>
      </c>
      <c r="K62" s="68">
        <v>0.9525</v>
      </c>
    </row>
    <row r="63">
      <c r="B63" s="87" t="s">
        <v>86</v>
      </c>
      <c r="C63" s="70" t="s">
        <v>134</v>
      </c>
      <c r="D63" s="71">
        <v>0.8217</v>
      </c>
      <c r="E63" s="71">
        <v>0.8966</v>
      </c>
      <c r="F63" s="71">
        <v>0.7017</v>
      </c>
      <c r="G63" s="71">
        <v>0.828</v>
      </c>
      <c r="H63" s="71">
        <v>0.8091</v>
      </c>
      <c r="I63" s="71">
        <v>0.861</v>
      </c>
      <c r="J63" s="71">
        <v>0.7516</v>
      </c>
      <c r="K63" s="71">
        <v>0.8984</v>
      </c>
    </row>
    <row r="64">
      <c r="B64" s="72"/>
      <c r="C64" s="73" t="s">
        <v>135</v>
      </c>
      <c r="D64" s="74">
        <v>0.7667</v>
      </c>
      <c r="E64" s="74">
        <v>0.9222</v>
      </c>
      <c r="F64" s="74">
        <v>0.6027</v>
      </c>
      <c r="G64" s="74">
        <v>0.7098</v>
      </c>
      <c r="H64" s="74">
        <v>0.8803</v>
      </c>
      <c r="I64" s="74">
        <v>0.8022</v>
      </c>
      <c r="J64" s="74">
        <v>0.7155</v>
      </c>
      <c r="K64" s="74">
        <v>0.8914</v>
      </c>
    </row>
    <row r="65">
      <c r="B65" s="72"/>
      <c r="C65" s="73" t="s">
        <v>136</v>
      </c>
      <c r="D65" s="74">
        <v>0.7929</v>
      </c>
      <c r="E65" s="74">
        <v>0.9167</v>
      </c>
      <c r="F65" s="74">
        <v>0.6408</v>
      </c>
      <c r="G65" s="74">
        <v>0.7583</v>
      </c>
      <c r="H65" s="74">
        <v>0.8621</v>
      </c>
      <c r="I65" s="74">
        <v>0.83</v>
      </c>
      <c r="J65" s="74">
        <v>0.7351</v>
      </c>
      <c r="K65" s="74">
        <v>0.8911</v>
      </c>
    </row>
    <row r="66">
      <c r="B66" s="72"/>
      <c r="C66" s="73" t="s">
        <v>137</v>
      </c>
      <c r="D66" s="74">
        <v>0.7783</v>
      </c>
      <c r="E66" s="74">
        <v>0.8951</v>
      </c>
      <c r="F66" s="74">
        <v>0.6277</v>
      </c>
      <c r="G66" s="74">
        <v>0.7561</v>
      </c>
      <c r="H66" s="74">
        <v>0.8227</v>
      </c>
      <c r="I66" s="74">
        <v>0.8197</v>
      </c>
      <c r="J66" s="74">
        <v>0.7121</v>
      </c>
      <c r="K66" s="74">
        <v>0.8743</v>
      </c>
    </row>
    <row r="67">
      <c r="B67" s="72"/>
      <c r="C67" s="73" t="s">
        <v>138</v>
      </c>
      <c r="D67" s="74">
        <v>0.7722</v>
      </c>
      <c r="E67" s="75">
        <v>0.9264</v>
      </c>
      <c r="F67" s="74">
        <v>0.6087</v>
      </c>
      <c r="G67" s="74">
        <v>0.7152</v>
      </c>
      <c r="H67" s="74">
        <v>0.8864</v>
      </c>
      <c r="I67" s="74">
        <v>0.8072</v>
      </c>
      <c r="J67" s="74">
        <v>0.7218</v>
      </c>
      <c r="K67" s="74">
        <v>0.9046</v>
      </c>
    </row>
    <row r="68">
      <c r="B68" s="90"/>
      <c r="C68" s="73" t="s">
        <v>139</v>
      </c>
      <c r="D68" s="74">
        <v>0.7429</v>
      </c>
      <c r="E68" s="74">
        <v>0.9185</v>
      </c>
      <c r="F68" s="74">
        <v>0.5747</v>
      </c>
      <c r="G68" s="74">
        <v>0.6742</v>
      </c>
      <c r="H68" s="74">
        <v>0.8803</v>
      </c>
      <c r="I68" s="74">
        <v>0.7776</v>
      </c>
      <c r="J68" s="74">
        <v>0.6954</v>
      </c>
      <c r="K68" s="74">
        <v>0.8946</v>
      </c>
    </row>
    <row r="69">
      <c r="B69" s="87" t="s">
        <v>140</v>
      </c>
      <c r="C69" s="70" t="s">
        <v>134</v>
      </c>
      <c r="D69" s="71">
        <v>0.9152</v>
      </c>
      <c r="E69" s="71">
        <v>0.9431</v>
      </c>
      <c r="F69" s="71">
        <v>0.8618</v>
      </c>
      <c r="G69" s="71">
        <v>0.9288</v>
      </c>
      <c r="H69" s="71">
        <v>0.8879</v>
      </c>
      <c r="I69" s="71">
        <v>0.9359</v>
      </c>
      <c r="J69" s="71">
        <v>0.8746</v>
      </c>
      <c r="K69" s="71">
        <v>0.9716</v>
      </c>
    </row>
    <row r="70">
      <c r="B70" s="72"/>
      <c r="C70" s="73" t="s">
        <v>135</v>
      </c>
      <c r="D70" s="74">
        <v>0.8929</v>
      </c>
      <c r="E70" s="74">
        <v>0.9446</v>
      </c>
      <c r="F70" s="74">
        <v>0.8052</v>
      </c>
      <c r="G70" s="74">
        <v>0.8917</v>
      </c>
      <c r="H70" s="74">
        <v>0.8955</v>
      </c>
      <c r="I70" s="74">
        <v>0.9174</v>
      </c>
      <c r="J70" s="74">
        <v>0.8479</v>
      </c>
      <c r="K70" s="74">
        <v>0.9577</v>
      </c>
    </row>
    <row r="71">
      <c r="B71" s="72"/>
      <c r="C71" s="73" t="s">
        <v>136</v>
      </c>
      <c r="D71" s="74">
        <v>0.8955</v>
      </c>
      <c r="E71" s="74">
        <v>0.9258</v>
      </c>
      <c r="F71" s="74">
        <v>0.8366</v>
      </c>
      <c r="G71" s="74">
        <v>0.9167</v>
      </c>
      <c r="H71" s="74">
        <v>0.853</v>
      </c>
      <c r="I71" s="74">
        <v>0.9212</v>
      </c>
      <c r="J71" s="74">
        <v>0.8447</v>
      </c>
      <c r="K71" s="74">
        <v>0.9451</v>
      </c>
    </row>
    <row r="72">
      <c r="B72" s="72"/>
      <c r="C72" s="73" t="s">
        <v>137</v>
      </c>
      <c r="D72" s="74">
        <v>0.9126</v>
      </c>
      <c r="E72" s="74">
        <v>0.9449</v>
      </c>
      <c r="F72" s="74">
        <v>0.8524</v>
      </c>
      <c r="G72" s="74">
        <v>0.9227</v>
      </c>
      <c r="H72" s="74">
        <v>0.8924</v>
      </c>
      <c r="I72" s="74">
        <v>0.9337</v>
      </c>
      <c r="J72" s="74">
        <v>0.8719</v>
      </c>
      <c r="K72" s="74">
        <v>0.965</v>
      </c>
    </row>
    <row r="73">
      <c r="B73" s="72"/>
      <c r="C73" s="73" t="s">
        <v>138</v>
      </c>
      <c r="D73" s="74">
        <v>0.9263</v>
      </c>
      <c r="E73" s="74">
        <v>0.9474</v>
      </c>
      <c r="F73" s="74">
        <v>0.8847</v>
      </c>
      <c r="G73" s="74">
        <v>0.9417</v>
      </c>
      <c r="H73" s="74">
        <v>0.8955</v>
      </c>
      <c r="I73" s="74">
        <v>0.9445</v>
      </c>
      <c r="J73" s="74">
        <v>0.8901</v>
      </c>
      <c r="K73" s="74">
        <v>0.9684</v>
      </c>
    </row>
    <row r="74">
      <c r="A74" s="82"/>
      <c r="B74" s="90"/>
      <c r="C74" s="91" t="s">
        <v>139</v>
      </c>
      <c r="D74" s="92">
        <v>0.9202</v>
      </c>
      <c r="E74" s="92">
        <v>0.9297</v>
      </c>
      <c r="F74" s="92">
        <v>0.8997</v>
      </c>
      <c r="G74" s="92">
        <v>0.9523</v>
      </c>
      <c r="H74" s="92">
        <v>0.8561</v>
      </c>
      <c r="I74" s="92">
        <v>0.9409</v>
      </c>
      <c r="J74" s="92">
        <v>0.8773</v>
      </c>
      <c r="K74" s="92">
        <v>0.9616</v>
      </c>
    </row>
    <row r="75">
      <c r="A75" s="81" t="s">
        <v>156</v>
      </c>
      <c r="B75" s="87" t="s">
        <v>35</v>
      </c>
      <c r="C75" s="88" t="s">
        <v>134</v>
      </c>
      <c r="D75" s="89">
        <v>0.9394</v>
      </c>
      <c r="E75" s="89">
        <v>0.951</v>
      </c>
      <c r="F75" s="89">
        <v>0.8967</v>
      </c>
      <c r="G75" s="89">
        <v>0.9712</v>
      </c>
      <c r="H75" s="89">
        <v>0.8333</v>
      </c>
      <c r="I75" s="89">
        <v>0.961</v>
      </c>
      <c r="J75" s="89">
        <v>0.8639</v>
      </c>
      <c r="K75" s="89">
        <v>0.9715</v>
      </c>
    </row>
    <row r="76">
      <c r="B76" s="72"/>
      <c r="C76" s="73" t="s">
        <v>135</v>
      </c>
      <c r="D76" s="74">
        <v>0.9341</v>
      </c>
      <c r="E76" s="74">
        <v>0.9575</v>
      </c>
      <c r="F76" s="74">
        <v>0.8564</v>
      </c>
      <c r="G76" s="74">
        <v>0.9568</v>
      </c>
      <c r="H76" s="74">
        <v>0.8586</v>
      </c>
      <c r="I76" s="74">
        <v>0.9572</v>
      </c>
      <c r="J76" s="74">
        <v>0.8575</v>
      </c>
      <c r="K76" s="74">
        <v>0.9659</v>
      </c>
    </row>
    <row r="77">
      <c r="B77" s="72"/>
      <c r="C77" s="73" t="s">
        <v>136</v>
      </c>
      <c r="D77" s="74">
        <v>0.9417</v>
      </c>
      <c r="E77" s="74">
        <v>0.958</v>
      </c>
      <c r="F77" s="74">
        <v>0.8854</v>
      </c>
      <c r="G77" s="74">
        <v>0.9667</v>
      </c>
      <c r="H77" s="74">
        <v>0.8586</v>
      </c>
      <c r="I77" s="74">
        <v>0.9623</v>
      </c>
      <c r="J77" s="74">
        <v>0.8718</v>
      </c>
      <c r="K77" s="74">
        <v>0.971</v>
      </c>
    </row>
    <row r="78">
      <c r="B78" s="72"/>
      <c r="C78" s="73" t="s">
        <v>137</v>
      </c>
      <c r="D78" s="74">
        <v>0.9382</v>
      </c>
      <c r="E78" s="74">
        <v>0.9578</v>
      </c>
      <c r="F78" s="74">
        <v>0.8718</v>
      </c>
      <c r="G78" s="74">
        <v>0.9621</v>
      </c>
      <c r="H78" s="74">
        <v>0.8586</v>
      </c>
      <c r="I78" s="74">
        <v>0.9599</v>
      </c>
      <c r="J78" s="74">
        <v>0.8651</v>
      </c>
      <c r="K78" s="74">
        <v>0.9688</v>
      </c>
    </row>
    <row r="79">
      <c r="B79" s="72"/>
      <c r="C79" s="73" t="s">
        <v>138</v>
      </c>
      <c r="D79" s="74">
        <v>0.9382</v>
      </c>
      <c r="E79" s="74">
        <v>0.9543</v>
      </c>
      <c r="F79" s="74">
        <v>0.8816</v>
      </c>
      <c r="G79" s="74">
        <v>0.9659</v>
      </c>
      <c r="H79" s="74">
        <v>0.846</v>
      </c>
      <c r="I79" s="74">
        <v>0.9601</v>
      </c>
      <c r="J79" s="74">
        <v>0.8634</v>
      </c>
      <c r="K79" s="74">
        <v>0.9686</v>
      </c>
    </row>
    <row r="80">
      <c r="B80" s="90"/>
      <c r="C80" s="76" t="s">
        <v>139</v>
      </c>
      <c r="D80" s="68">
        <v>0.94</v>
      </c>
      <c r="E80" s="68">
        <v>0.9627</v>
      </c>
      <c r="F80" s="68">
        <v>0.8653</v>
      </c>
      <c r="G80" s="68">
        <v>0.9591</v>
      </c>
      <c r="H80" s="68">
        <v>0.8763</v>
      </c>
      <c r="I80" s="68">
        <v>0.9609</v>
      </c>
      <c r="J80" s="68">
        <v>0.8708</v>
      </c>
      <c r="K80" s="68">
        <v>0.9678</v>
      </c>
    </row>
    <row r="81">
      <c r="B81" s="87" t="s">
        <v>86</v>
      </c>
      <c r="C81" s="70" t="s">
        <v>134</v>
      </c>
      <c r="D81" s="71">
        <v>0.8869</v>
      </c>
      <c r="E81" s="71">
        <v>0.954</v>
      </c>
      <c r="F81" s="71">
        <v>0.7122</v>
      </c>
      <c r="G81" s="71">
        <v>0.8962</v>
      </c>
      <c r="H81" s="71">
        <v>0.8561</v>
      </c>
      <c r="I81" s="71">
        <v>0.9242</v>
      </c>
      <c r="J81" s="71">
        <v>0.7775</v>
      </c>
      <c r="K81" s="71">
        <v>0.936</v>
      </c>
    </row>
    <row r="82">
      <c r="B82" s="72"/>
      <c r="C82" s="73" t="s">
        <v>135</v>
      </c>
      <c r="D82" s="74">
        <v>0.8438</v>
      </c>
      <c r="E82" s="74">
        <v>0.9705</v>
      </c>
      <c r="F82" s="74">
        <v>0.607</v>
      </c>
      <c r="G82" s="74">
        <v>0.822</v>
      </c>
      <c r="H82" s="74">
        <v>0.9167</v>
      </c>
      <c r="I82" s="74">
        <v>0.8901</v>
      </c>
      <c r="J82" s="74">
        <v>0.7304</v>
      </c>
      <c r="K82" s="74">
        <v>0.9497</v>
      </c>
    </row>
    <row r="83">
      <c r="B83" s="72"/>
      <c r="C83" s="73" t="s">
        <v>136</v>
      </c>
      <c r="D83" s="74">
        <v>0.9027</v>
      </c>
      <c r="E83" s="74">
        <v>0.9653</v>
      </c>
      <c r="F83" s="74">
        <v>0.74</v>
      </c>
      <c r="G83" s="74">
        <v>0.9061</v>
      </c>
      <c r="H83" s="74">
        <v>0.8914</v>
      </c>
      <c r="I83" s="74">
        <v>0.9347</v>
      </c>
      <c r="J83" s="74">
        <v>0.8087</v>
      </c>
      <c r="K83" s="74">
        <v>0.9539</v>
      </c>
    </row>
    <row r="84">
      <c r="B84" s="72"/>
      <c r="C84" s="73" t="s">
        <v>137</v>
      </c>
      <c r="D84" s="74">
        <v>0.8246</v>
      </c>
      <c r="E84" s="74">
        <v>0.9505</v>
      </c>
      <c r="F84" s="74">
        <v>0.5812</v>
      </c>
      <c r="G84" s="74">
        <v>0.8144</v>
      </c>
      <c r="H84" s="74">
        <v>0.8586</v>
      </c>
      <c r="I84" s="74">
        <v>0.8772</v>
      </c>
      <c r="J84" s="74">
        <v>0.6932</v>
      </c>
      <c r="K84" s="74">
        <v>0.9168</v>
      </c>
    </row>
    <row r="85">
      <c r="B85" s="72"/>
      <c r="C85" s="73" t="s">
        <v>138</v>
      </c>
      <c r="D85" s="74">
        <v>0.7226</v>
      </c>
      <c r="E85" s="75">
        <v>0.9689</v>
      </c>
      <c r="F85" s="74">
        <v>0.451</v>
      </c>
      <c r="G85" s="74">
        <v>0.6606</v>
      </c>
      <c r="H85" s="74">
        <v>0.9293</v>
      </c>
      <c r="I85" s="74">
        <v>0.7856</v>
      </c>
      <c r="J85" s="74">
        <v>0.6073</v>
      </c>
      <c r="K85" s="74">
        <v>0.9326</v>
      </c>
    </row>
    <row r="86">
      <c r="B86" s="90"/>
      <c r="C86" s="73" t="s">
        <v>139</v>
      </c>
      <c r="D86" s="74">
        <v>0.7873</v>
      </c>
      <c r="E86" s="74">
        <v>0.9614</v>
      </c>
      <c r="F86" s="74">
        <v>0.5228</v>
      </c>
      <c r="G86" s="74">
        <v>0.7538</v>
      </c>
      <c r="H86" s="74">
        <v>0.899</v>
      </c>
      <c r="I86" s="74">
        <v>0.845</v>
      </c>
      <c r="J86" s="74">
        <v>0.6611</v>
      </c>
      <c r="K86" s="74">
        <v>0.9333</v>
      </c>
    </row>
    <row r="87">
      <c r="B87" s="87" t="s">
        <v>140</v>
      </c>
      <c r="C87" s="70" t="s">
        <v>134</v>
      </c>
      <c r="D87" s="71">
        <v>0.9811</v>
      </c>
      <c r="E87" s="71">
        <v>0.9664</v>
      </c>
      <c r="F87" s="71">
        <v>0.931</v>
      </c>
      <c r="G87" s="71">
        <v>0.9803</v>
      </c>
      <c r="H87" s="71">
        <v>0.8864</v>
      </c>
      <c r="I87" s="71">
        <v>0.9733</v>
      </c>
      <c r="J87" s="71">
        <v>0.9082</v>
      </c>
      <c r="K87" s="71">
        <v>0.9811</v>
      </c>
    </row>
    <row r="88">
      <c r="B88" s="72"/>
      <c r="C88" s="73" t="s">
        <v>135</v>
      </c>
      <c r="D88" s="74">
        <v>0.9411</v>
      </c>
      <c r="E88" s="74">
        <v>0.9607</v>
      </c>
      <c r="F88" s="74">
        <v>0.8753</v>
      </c>
      <c r="G88" s="74">
        <v>0.9629</v>
      </c>
      <c r="H88" s="74">
        <v>0.8687</v>
      </c>
      <c r="I88" s="74">
        <v>0.9618</v>
      </c>
      <c r="J88" s="74">
        <v>0.872</v>
      </c>
      <c r="K88" s="74">
        <v>0.9699</v>
      </c>
    </row>
    <row r="89">
      <c r="B89" s="72"/>
      <c r="C89" s="73" t="s">
        <v>136</v>
      </c>
      <c r="D89" s="74">
        <v>0.947</v>
      </c>
      <c r="E89" s="74">
        <v>0.9694</v>
      </c>
      <c r="F89" s="74">
        <v>0.8747</v>
      </c>
      <c r="G89" s="74">
        <v>0.9614</v>
      </c>
      <c r="H89" s="74">
        <v>0.899</v>
      </c>
      <c r="I89" s="74">
        <v>0.9654</v>
      </c>
      <c r="J89" s="74">
        <v>0.8867</v>
      </c>
      <c r="K89" s="74">
        <v>0.9744</v>
      </c>
    </row>
    <row r="90">
      <c r="B90" s="72"/>
      <c r="C90" s="73" t="s">
        <v>137</v>
      </c>
      <c r="D90" s="74">
        <v>0.951</v>
      </c>
      <c r="E90" s="74">
        <v>0.9783</v>
      </c>
      <c r="F90" s="74">
        <v>0.8679</v>
      </c>
      <c r="G90" s="74">
        <v>0.9576</v>
      </c>
      <c r="H90" s="74">
        <v>0.9293</v>
      </c>
      <c r="I90" s="74">
        <v>0.9678</v>
      </c>
      <c r="J90" s="74">
        <v>0.8976</v>
      </c>
      <c r="K90" s="74">
        <v>0.9799</v>
      </c>
    </row>
    <row r="91">
      <c r="B91" s="72"/>
      <c r="C91" s="73" t="s">
        <v>138</v>
      </c>
      <c r="D91" s="74">
        <v>0.9598</v>
      </c>
      <c r="E91" s="74">
        <v>0.9692</v>
      </c>
      <c r="F91" s="74">
        <v>0.9269</v>
      </c>
      <c r="G91" s="74">
        <v>0.9788</v>
      </c>
      <c r="H91" s="74">
        <v>0.8965</v>
      </c>
      <c r="I91" s="74">
        <v>0.974</v>
      </c>
      <c r="J91" s="74">
        <v>0.9114</v>
      </c>
      <c r="K91" s="74">
        <v>0.9742</v>
      </c>
    </row>
    <row r="92">
      <c r="A92" s="82"/>
      <c r="B92" s="90"/>
      <c r="C92" s="91" t="s">
        <v>139</v>
      </c>
      <c r="D92" s="92">
        <v>0.9499</v>
      </c>
      <c r="E92" s="92">
        <v>0.9653</v>
      </c>
      <c r="F92" s="92">
        <v>0.8974</v>
      </c>
      <c r="G92" s="92">
        <v>0.9697</v>
      </c>
      <c r="H92" s="92">
        <v>0.8838</v>
      </c>
      <c r="I92" s="92">
        <v>0.9675</v>
      </c>
      <c r="J92" s="92">
        <v>0.8906</v>
      </c>
      <c r="K92" s="92">
        <v>0.9757</v>
      </c>
    </row>
    <row r="93">
      <c r="A93" s="81" t="s">
        <v>157</v>
      </c>
      <c r="B93" s="87" t="s">
        <v>35</v>
      </c>
      <c r="C93" s="88" t="s">
        <v>134</v>
      </c>
      <c r="D93" s="89">
        <v>0.9745</v>
      </c>
      <c r="E93" s="89">
        <v>0.9842</v>
      </c>
      <c r="F93" s="89">
        <v>0.874</v>
      </c>
      <c r="G93" s="89">
        <v>0.9879</v>
      </c>
      <c r="H93" s="89">
        <v>0.8409</v>
      </c>
      <c r="I93" s="89">
        <v>0.986</v>
      </c>
      <c r="J93" s="89">
        <v>0.8571</v>
      </c>
      <c r="K93" s="89">
        <v>0.9917</v>
      </c>
    </row>
    <row r="94">
      <c r="B94" s="72"/>
      <c r="C94" s="73" t="s">
        <v>135</v>
      </c>
      <c r="D94" s="74">
        <v>0.98</v>
      </c>
      <c r="E94" s="74">
        <v>0.9879</v>
      </c>
      <c r="F94" s="74">
        <v>0.8992</v>
      </c>
      <c r="G94" s="74">
        <v>0.9902</v>
      </c>
      <c r="H94" s="74">
        <v>0.8788</v>
      </c>
      <c r="I94" s="74">
        <v>0.989</v>
      </c>
      <c r="J94" s="74">
        <v>0.8889</v>
      </c>
      <c r="K94" s="74">
        <v>0.9925</v>
      </c>
    </row>
    <row r="95">
      <c r="B95" s="72"/>
      <c r="C95" s="73" t="s">
        <v>136</v>
      </c>
      <c r="D95" s="74">
        <v>0.9773</v>
      </c>
      <c r="E95" s="74">
        <v>0.9894</v>
      </c>
      <c r="F95" s="74">
        <v>0.8613</v>
      </c>
      <c r="G95" s="74">
        <v>0.9856</v>
      </c>
      <c r="H95" s="74">
        <v>0.8939</v>
      </c>
      <c r="I95" s="74">
        <v>0.9875</v>
      </c>
      <c r="J95" s="74">
        <v>0.8773</v>
      </c>
      <c r="K95" s="74">
        <v>0.9925</v>
      </c>
    </row>
    <row r="96">
      <c r="B96" s="72"/>
      <c r="C96" s="73" t="s">
        <v>137</v>
      </c>
      <c r="D96" s="74">
        <v>0.9759</v>
      </c>
      <c r="E96" s="74">
        <v>0.9961</v>
      </c>
      <c r="F96" s="74">
        <v>0.8089</v>
      </c>
      <c r="G96" s="74">
        <v>0.9773</v>
      </c>
      <c r="H96" s="74">
        <v>0.9621</v>
      </c>
      <c r="I96" s="74">
        <v>0.9866</v>
      </c>
      <c r="J96" s="74">
        <v>0.8789</v>
      </c>
      <c r="K96" s="74">
        <v>0.9932</v>
      </c>
    </row>
    <row r="97">
      <c r="B97" s="72"/>
      <c r="C97" s="73" t="s">
        <v>138</v>
      </c>
      <c r="D97" s="74">
        <v>0.9787</v>
      </c>
      <c r="E97" s="74">
        <v>0.9946</v>
      </c>
      <c r="F97" s="74">
        <v>0.8389</v>
      </c>
      <c r="G97" s="74">
        <v>0.9818</v>
      </c>
      <c r="H97" s="74">
        <v>0.947</v>
      </c>
      <c r="I97" s="74">
        <v>0.9882</v>
      </c>
      <c r="J97" s="74">
        <v>0.8897</v>
      </c>
      <c r="K97" s="74">
        <v>0.9931</v>
      </c>
    </row>
    <row r="98">
      <c r="B98" s="90"/>
      <c r="C98" s="76" t="s">
        <v>139</v>
      </c>
      <c r="D98" s="68">
        <v>0.9731</v>
      </c>
      <c r="E98" s="68">
        <v>0.9938</v>
      </c>
      <c r="F98" s="68">
        <v>0.8</v>
      </c>
      <c r="G98" s="68">
        <v>0.9765</v>
      </c>
      <c r="H98" s="68">
        <v>0.9394</v>
      </c>
      <c r="I98" s="68">
        <v>0.9851</v>
      </c>
      <c r="J98" s="68">
        <v>0.8641</v>
      </c>
      <c r="K98" s="68">
        <v>0.9921</v>
      </c>
    </row>
    <row r="99">
      <c r="B99" s="87" t="s">
        <v>86</v>
      </c>
      <c r="C99" s="70" t="s">
        <v>134</v>
      </c>
      <c r="D99" s="71">
        <v>0.9118</v>
      </c>
      <c r="E99" s="71">
        <v>0.9869</v>
      </c>
      <c r="F99" s="71">
        <v>0.5088</v>
      </c>
      <c r="G99" s="71">
        <v>0.9152</v>
      </c>
      <c r="H99" s="71">
        <v>0.8788</v>
      </c>
      <c r="I99" s="71">
        <v>0.9497</v>
      </c>
      <c r="J99" s="71">
        <v>0.6444</v>
      </c>
      <c r="K99" s="71">
        <v>0.969</v>
      </c>
    </row>
    <row r="100">
      <c r="B100" s="72"/>
      <c r="C100" s="73" t="s">
        <v>135</v>
      </c>
      <c r="D100" s="74">
        <v>0.8657</v>
      </c>
      <c r="E100" s="74">
        <v>1.0</v>
      </c>
      <c r="F100" s="74">
        <v>0.4037</v>
      </c>
      <c r="G100" s="74">
        <v>0.8523</v>
      </c>
      <c r="H100" s="74">
        <v>1.0</v>
      </c>
      <c r="I100" s="74">
        <v>0.9202</v>
      </c>
      <c r="J100" s="74">
        <v>0.5752</v>
      </c>
      <c r="K100" s="74">
        <v>0.9861</v>
      </c>
    </row>
    <row r="101">
      <c r="B101" s="72"/>
      <c r="C101" s="73" t="s">
        <v>136</v>
      </c>
      <c r="D101" s="74">
        <v>0.947</v>
      </c>
      <c r="E101" s="74">
        <v>0.9762</v>
      </c>
      <c r="F101" s="74">
        <v>0.6871</v>
      </c>
      <c r="G101" s="74">
        <v>0.9652</v>
      </c>
      <c r="H101" s="74">
        <v>0.7652</v>
      </c>
      <c r="I101" s="74">
        <v>0.9707</v>
      </c>
      <c r="J101" s="74">
        <v>0.724</v>
      </c>
      <c r="K101" s="74">
        <v>0.9623</v>
      </c>
    </row>
    <row r="102">
      <c r="B102" s="72"/>
      <c r="C102" s="73" t="s">
        <v>137</v>
      </c>
      <c r="D102" s="74">
        <v>0.8802</v>
      </c>
      <c r="E102" s="74">
        <v>0.9957</v>
      </c>
      <c r="F102" s="74">
        <v>0.4291</v>
      </c>
      <c r="G102" s="74">
        <v>0.872</v>
      </c>
      <c r="H102" s="74">
        <v>0.9621</v>
      </c>
      <c r="I102" s="74">
        <v>0.9297</v>
      </c>
      <c r="J102" s="74">
        <v>0.5935</v>
      </c>
      <c r="K102" s="74">
        <v>0.9806</v>
      </c>
    </row>
    <row r="103">
      <c r="B103" s="72"/>
      <c r="C103" s="73" t="s">
        <v>138</v>
      </c>
      <c r="D103" s="74">
        <v>0.8616</v>
      </c>
      <c r="E103" s="75">
        <v>0.9965</v>
      </c>
      <c r="F103" s="74">
        <v>0.3938</v>
      </c>
      <c r="G103" s="74">
        <v>0.8508</v>
      </c>
      <c r="H103" s="74">
        <v>0.9697</v>
      </c>
      <c r="I103" s="74">
        <v>0.9179</v>
      </c>
      <c r="J103" s="74">
        <v>0.5602</v>
      </c>
      <c r="K103" s="74">
        <v>0.9796</v>
      </c>
    </row>
    <row r="104">
      <c r="B104" s="90"/>
      <c r="C104" s="73" t="s">
        <v>139</v>
      </c>
      <c r="D104" s="74">
        <v>0.8313</v>
      </c>
      <c r="E104" s="74">
        <v>0.9918</v>
      </c>
      <c r="F104" s="74">
        <v>0.3426</v>
      </c>
      <c r="G104" s="74">
        <v>0.8212</v>
      </c>
      <c r="H104" s="74">
        <v>0.9318</v>
      </c>
      <c r="I104" s="74">
        <v>0.8985</v>
      </c>
      <c r="J104" s="74">
        <v>0.501</v>
      </c>
      <c r="K104" s="74">
        <v>0.9611</v>
      </c>
    </row>
    <row r="105">
      <c r="B105" s="87" t="s">
        <v>140</v>
      </c>
      <c r="C105" s="70" t="s">
        <v>134</v>
      </c>
      <c r="D105" s="71">
        <v>0.9924</v>
      </c>
      <c r="E105" s="71">
        <v>0.994</v>
      </c>
      <c r="F105" s="71">
        <v>0.9764</v>
      </c>
      <c r="G105" s="71">
        <v>0.9977</v>
      </c>
      <c r="H105" s="71">
        <v>0.9394</v>
      </c>
      <c r="I105" s="71">
        <v>0.9958</v>
      </c>
      <c r="J105" s="71">
        <v>0.9575</v>
      </c>
      <c r="K105" s="71">
        <v>0.9992</v>
      </c>
    </row>
    <row r="106">
      <c r="B106" s="72"/>
      <c r="C106" s="73" t="s">
        <v>135</v>
      </c>
      <c r="D106" s="74">
        <v>0.9814</v>
      </c>
      <c r="E106" s="74">
        <v>0.9977</v>
      </c>
      <c r="F106" s="74">
        <v>0.8431</v>
      </c>
      <c r="G106" s="74">
        <v>0.9818</v>
      </c>
      <c r="H106" s="74">
        <v>0.9773</v>
      </c>
      <c r="I106" s="74">
        <v>0.9897</v>
      </c>
      <c r="J106" s="74">
        <v>0.9053</v>
      </c>
      <c r="K106" s="74">
        <v>0.9979</v>
      </c>
    </row>
    <row r="107">
      <c r="B107" s="72"/>
      <c r="C107" s="73" t="s">
        <v>136</v>
      </c>
      <c r="D107" s="74">
        <v>0.9738</v>
      </c>
      <c r="E107" s="74">
        <v>0.9938</v>
      </c>
      <c r="F107" s="74">
        <v>0.8052</v>
      </c>
      <c r="G107" s="74">
        <v>0.9773</v>
      </c>
      <c r="H107" s="74">
        <v>0.9394</v>
      </c>
      <c r="I107" s="74">
        <v>0.9855</v>
      </c>
      <c r="J107" s="74">
        <v>0.8671</v>
      </c>
      <c r="K107" s="74">
        <v>0.9948</v>
      </c>
    </row>
    <row r="108">
      <c r="B108" s="72"/>
      <c r="C108" s="73" t="s">
        <v>137</v>
      </c>
      <c r="D108" s="74">
        <v>0.9945</v>
      </c>
      <c r="E108" s="74">
        <v>0.9977</v>
      </c>
      <c r="F108" s="74">
        <v>0.9627</v>
      </c>
      <c r="G108" s="74">
        <v>0.9962</v>
      </c>
      <c r="H108" s="74">
        <v>0.9773</v>
      </c>
      <c r="I108" s="74">
        <v>0.997</v>
      </c>
      <c r="J108" s="74">
        <v>0.9699</v>
      </c>
      <c r="K108" s="74">
        <v>0.9985</v>
      </c>
    </row>
    <row r="109">
      <c r="B109" s="72"/>
      <c r="C109" s="73" t="s">
        <v>138</v>
      </c>
      <c r="D109" s="74">
        <v>0.9931</v>
      </c>
      <c r="E109" s="74">
        <v>0.9977</v>
      </c>
      <c r="F109" s="74">
        <v>0.9485</v>
      </c>
      <c r="G109" s="74">
        <v>0.9947</v>
      </c>
      <c r="H109" s="74">
        <v>0.9773</v>
      </c>
      <c r="I109" s="74">
        <v>0.9962</v>
      </c>
      <c r="J109" s="74">
        <v>0.9627</v>
      </c>
      <c r="K109" s="74">
        <v>0.9986</v>
      </c>
    </row>
    <row r="110">
      <c r="A110" s="82"/>
      <c r="B110" s="90"/>
      <c r="C110" s="91" t="s">
        <v>139</v>
      </c>
      <c r="D110" s="92">
        <v>0.9917</v>
      </c>
      <c r="E110" s="92">
        <v>0.9985</v>
      </c>
      <c r="F110" s="92">
        <v>0.9286</v>
      </c>
      <c r="G110" s="92">
        <v>0.9924</v>
      </c>
      <c r="H110" s="92">
        <v>0.9848</v>
      </c>
      <c r="I110" s="92">
        <v>0.9954</v>
      </c>
      <c r="J110" s="92">
        <v>0.9559</v>
      </c>
      <c r="K110" s="92">
        <v>0.9983</v>
      </c>
    </row>
  </sheetData>
  <mergeCells count="31">
    <mergeCell ref="B1:B2"/>
    <mergeCell ref="B3:B8"/>
    <mergeCell ref="A1:A2"/>
    <mergeCell ref="C1:C2"/>
    <mergeCell ref="D1:K1"/>
    <mergeCell ref="E2:F2"/>
    <mergeCell ref="G2:H2"/>
    <mergeCell ref="I2:J2"/>
    <mergeCell ref="A3:A20"/>
    <mergeCell ref="B39:B44"/>
    <mergeCell ref="B45:B50"/>
    <mergeCell ref="A39:A56"/>
    <mergeCell ref="A57:A74"/>
    <mergeCell ref="A75:A92"/>
    <mergeCell ref="A93:A110"/>
    <mergeCell ref="B9:B14"/>
    <mergeCell ref="B15:B20"/>
    <mergeCell ref="A21:A38"/>
    <mergeCell ref="B21:B26"/>
    <mergeCell ref="B27:B32"/>
    <mergeCell ref="B33:B38"/>
    <mergeCell ref="B51:B56"/>
    <mergeCell ref="B99:B104"/>
    <mergeCell ref="B105:B110"/>
    <mergeCell ref="B57:B62"/>
    <mergeCell ref="B63:B68"/>
    <mergeCell ref="B69:B74"/>
    <mergeCell ref="B75:B80"/>
    <mergeCell ref="B81:B86"/>
    <mergeCell ref="B87:B92"/>
    <mergeCell ref="B93:B98"/>
  </mergeCells>
  <dataValidations>
    <dataValidation type="list" allowBlank="1" showErrorMessage="1" sqref="C3:C110">
      <formula1>"TANPA AUGMENTASI,EDA,SMOTE,BACK TRANSLATION,MASKING,PARAPHRASE GENERATION,SYNTHETIC AUGMENTATION"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0.5"/>
  </cols>
  <sheetData>
    <row r="1">
      <c r="A1" s="81" t="s">
        <v>101</v>
      </c>
      <c r="B1" s="58" t="s">
        <v>126</v>
      </c>
      <c r="C1" s="59" t="s">
        <v>127</v>
      </c>
      <c r="D1" s="60" t="s">
        <v>128</v>
      </c>
      <c r="E1" s="61"/>
      <c r="F1" s="61"/>
      <c r="G1" s="61"/>
      <c r="H1" s="61"/>
      <c r="I1" s="61"/>
      <c r="J1" s="61"/>
      <c r="K1" s="62"/>
    </row>
    <row r="2">
      <c r="A2" s="82"/>
      <c r="B2" s="90"/>
      <c r="C2" s="93"/>
      <c r="D2" s="94" t="s">
        <v>129</v>
      </c>
      <c r="E2" s="95" t="s">
        <v>130</v>
      </c>
      <c r="F2" s="96"/>
      <c r="G2" s="95" t="s">
        <v>131</v>
      </c>
      <c r="H2" s="96"/>
      <c r="I2" s="95" t="s">
        <v>132</v>
      </c>
      <c r="J2" s="96"/>
      <c r="K2" s="92" t="s">
        <v>133</v>
      </c>
    </row>
    <row r="3">
      <c r="A3" s="81" t="s">
        <v>155</v>
      </c>
      <c r="B3" s="87" t="s">
        <v>35</v>
      </c>
      <c r="C3" s="88" t="s">
        <v>134</v>
      </c>
      <c r="D3" s="89">
        <v>0.9245</v>
      </c>
      <c r="E3" s="89">
        <v>0.9835</v>
      </c>
      <c r="F3" s="89">
        <v>0.7388</v>
      </c>
      <c r="G3" s="89">
        <v>0.9221</v>
      </c>
      <c r="H3" s="89">
        <v>0.9345</v>
      </c>
      <c r="I3" s="89">
        <v>0.9518</v>
      </c>
      <c r="J3" s="89">
        <v>0.8252</v>
      </c>
      <c r="K3" s="89">
        <v>0.9781</v>
      </c>
    </row>
    <row r="4">
      <c r="B4" s="72"/>
      <c r="C4" s="73" t="s">
        <v>135</v>
      </c>
      <c r="D4" s="74">
        <v>0.9109</v>
      </c>
      <c r="E4" s="74">
        <v>0.9881</v>
      </c>
      <c r="F4" s="74">
        <v>0.6937</v>
      </c>
      <c r="G4" s="74">
        <v>0.9007</v>
      </c>
      <c r="H4" s="74">
        <v>0.9539</v>
      </c>
      <c r="I4" s="74">
        <v>0.9424</v>
      </c>
      <c r="J4" s="74">
        <v>0.8033</v>
      </c>
      <c r="K4" s="74">
        <v>0.9807</v>
      </c>
      <c r="L4" s="63">
        <f t="shared" ref="L4:L8" si="1">average(H4,H10,H16)</f>
        <v>0.9266</v>
      </c>
      <c r="N4" s="63">
        <f t="shared" ref="N4:N8" si="2">average(J4,J10,J16)</f>
        <v>0.7408666667</v>
      </c>
    </row>
    <row r="5">
      <c r="B5" s="72"/>
      <c r="C5" s="73" t="s">
        <v>136</v>
      </c>
      <c r="D5" s="74">
        <v>0.9046</v>
      </c>
      <c r="E5" s="74">
        <v>0.9868</v>
      </c>
      <c r="F5" s="74">
        <v>0.6787</v>
      </c>
      <c r="G5" s="74">
        <v>0.8941</v>
      </c>
      <c r="H5" s="74">
        <v>0.9494</v>
      </c>
      <c r="I5" s="74">
        <v>0.9382</v>
      </c>
      <c r="J5" s="74">
        <v>0.7916</v>
      </c>
      <c r="K5" s="74">
        <v>0.9762</v>
      </c>
      <c r="L5" s="63">
        <f t="shared" si="1"/>
        <v>0.9256</v>
      </c>
      <c r="N5" s="63">
        <f t="shared" si="2"/>
        <v>0.7334</v>
      </c>
    </row>
    <row r="6">
      <c r="B6" s="72"/>
      <c r="C6" s="73" t="s">
        <v>137</v>
      </c>
      <c r="D6" s="74">
        <v>0.9086</v>
      </c>
      <c r="E6" s="74">
        <v>0.9858</v>
      </c>
      <c r="F6" s="74">
        <v>0.6902</v>
      </c>
      <c r="G6" s="74">
        <v>0.9</v>
      </c>
      <c r="H6" s="74">
        <v>0.9449</v>
      </c>
      <c r="I6" s="74">
        <v>0.941</v>
      </c>
      <c r="J6" s="74">
        <v>0.7977</v>
      </c>
      <c r="K6" s="74">
        <v>0.9745</v>
      </c>
      <c r="L6" s="63">
        <f t="shared" si="1"/>
        <v>0.9365</v>
      </c>
      <c r="N6" s="63">
        <f t="shared" si="2"/>
        <v>0.7826</v>
      </c>
    </row>
    <row r="7">
      <c r="B7" s="72"/>
      <c r="C7" s="73" t="s">
        <v>138</v>
      </c>
      <c r="D7" s="74">
        <v>0.9194</v>
      </c>
      <c r="E7" s="74">
        <v>0.9897</v>
      </c>
      <c r="F7" s="74">
        <v>0.7151</v>
      </c>
      <c r="G7" s="74">
        <v>0.9099</v>
      </c>
      <c r="H7" s="74">
        <v>0.9598</v>
      </c>
      <c r="I7" s="74">
        <v>0.9481</v>
      </c>
      <c r="J7" s="74">
        <v>0.8196</v>
      </c>
      <c r="K7" s="74">
        <v>0.9825</v>
      </c>
      <c r="L7" s="63">
        <f t="shared" si="1"/>
        <v>0.9375</v>
      </c>
      <c r="N7" s="63">
        <f t="shared" si="2"/>
        <v>0.7119333333</v>
      </c>
    </row>
    <row r="8">
      <c r="B8" s="90"/>
      <c r="C8" s="76" t="s">
        <v>139</v>
      </c>
      <c r="D8" s="68">
        <v>0.9052</v>
      </c>
      <c r="E8" s="68">
        <v>0.9872</v>
      </c>
      <c r="F8" s="68">
        <v>0.6798</v>
      </c>
      <c r="G8" s="68">
        <v>0.8944</v>
      </c>
      <c r="H8" s="68">
        <v>0.9509</v>
      </c>
      <c r="I8" s="68">
        <v>0.9385</v>
      </c>
      <c r="J8" s="68">
        <v>0.7928</v>
      </c>
      <c r="K8" s="68">
        <v>0.9762</v>
      </c>
      <c r="L8" s="63">
        <f t="shared" si="1"/>
        <v>0.9221333333</v>
      </c>
      <c r="N8" s="63">
        <f t="shared" si="2"/>
        <v>0.7454666667</v>
      </c>
    </row>
    <row r="9">
      <c r="B9" s="87" t="s">
        <v>86</v>
      </c>
      <c r="C9" s="70" t="s">
        <v>134</v>
      </c>
      <c r="D9" s="71">
        <v>0.7945</v>
      </c>
      <c r="E9" s="71">
        <v>0.9683</v>
      </c>
      <c r="F9" s="71">
        <v>0.4792</v>
      </c>
      <c r="G9" s="71">
        <v>0.7713</v>
      </c>
      <c r="H9" s="71">
        <v>0.8929</v>
      </c>
      <c r="I9" s="71">
        <v>0.8586</v>
      </c>
      <c r="J9" s="71">
        <v>0.6237</v>
      </c>
      <c r="K9" s="71">
        <v>0.9247</v>
      </c>
      <c r="L9" s="19" t="s">
        <v>138</v>
      </c>
      <c r="N9" s="19" t="s">
        <v>136</v>
      </c>
    </row>
    <row r="10">
      <c r="B10" s="72"/>
      <c r="C10" s="73" t="s">
        <v>135</v>
      </c>
      <c r="D10" s="74">
        <v>0.776</v>
      </c>
      <c r="E10" s="74">
        <v>0.9648</v>
      </c>
      <c r="F10" s="74">
        <v>0.4552</v>
      </c>
      <c r="G10" s="74">
        <v>0.7506</v>
      </c>
      <c r="H10" s="74">
        <v>0.8839</v>
      </c>
      <c r="I10" s="74">
        <v>0.8443</v>
      </c>
      <c r="J10" s="74">
        <v>0.6009</v>
      </c>
      <c r="K10" s="74">
        <v>0.9101</v>
      </c>
      <c r="L10" s="19" t="s">
        <v>152</v>
      </c>
      <c r="N10" s="19" t="s">
        <v>142</v>
      </c>
    </row>
    <row r="11">
      <c r="B11" s="72"/>
      <c r="C11" s="73" t="s">
        <v>136</v>
      </c>
      <c r="D11" s="74">
        <v>0.7809</v>
      </c>
      <c r="E11" s="74">
        <v>0.9727</v>
      </c>
      <c r="F11" s="74">
        <v>0.4622</v>
      </c>
      <c r="G11" s="74">
        <v>0.7503</v>
      </c>
      <c r="H11" s="74">
        <v>0.9107</v>
      </c>
      <c r="I11" s="74">
        <v>0.8471</v>
      </c>
      <c r="J11" s="74">
        <v>0.6132</v>
      </c>
      <c r="K11" s="74">
        <v>0.9214</v>
      </c>
    </row>
    <row r="12">
      <c r="B12" s="72"/>
      <c r="C12" s="73" t="s">
        <v>137</v>
      </c>
      <c r="D12" s="74">
        <v>0.8351</v>
      </c>
      <c r="E12" s="74">
        <v>0.9789</v>
      </c>
      <c r="F12" s="74">
        <v>0.5395</v>
      </c>
      <c r="G12" s="74">
        <v>0.8137</v>
      </c>
      <c r="H12" s="74">
        <v>0.9256</v>
      </c>
      <c r="I12" s="74">
        <v>0.8887</v>
      </c>
      <c r="J12" s="74">
        <v>0.6816</v>
      </c>
      <c r="K12" s="74">
        <v>0.9499</v>
      </c>
    </row>
    <row r="13">
      <c r="B13" s="72"/>
      <c r="C13" s="73" t="s">
        <v>138</v>
      </c>
      <c r="D13" s="74">
        <v>0.6239</v>
      </c>
      <c r="E13" s="75">
        <v>0.963</v>
      </c>
      <c r="F13" s="74">
        <v>0.3259</v>
      </c>
      <c r="G13" s="74">
        <v>0.5566</v>
      </c>
      <c r="H13" s="74">
        <v>0.9092</v>
      </c>
      <c r="I13" s="74">
        <v>0.7055</v>
      </c>
      <c r="J13" s="74">
        <v>0.4798</v>
      </c>
      <c r="K13" s="74">
        <v>0.8737</v>
      </c>
    </row>
    <row r="14">
      <c r="B14" s="90"/>
      <c r="C14" s="73" t="s">
        <v>139</v>
      </c>
      <c r="D14" s="74">
        <v>0.7633</v>
      </c>
      <c r="E14" s="74">
        <v>0.9611</v>
      </c>
      <c r="F14" s="74">
        <v>0.4394</v>
      </c>
      <c r="G14" s="74">
        <v>0.7373</v>
      </c>
      <c r="H14" s="74">
        <v>0.8735</v>
      </c>
      <c r="I14" s="74">
        <v>0.8345</v>
      </c>
      <c r="J14" s="74">
        <v>0.5847</v>
      </c>
      <c r="K14" s="74">
        <v>0.8899</v>
      </c>
    </row>
    <row r="15">
      <c r="B15" s="87" t="s">
        <v>140</v>
      </c>
      <c r="C15" s="70" t="s">
        <v>134</v>
      </c>
      <c r="D15" s="71">
        <v>0.9364</v>
      </c>
      <c r="E15" s="71">
        <v>0.987</v>
      </c>
      <c r="F15" s="71">
        <v>0.7712</v>
      </c>
      <c r="G15" s="71">
        <v>0.9337</v>
      </c>
      <c r="H15" s="71">
        <v>0.9479</v>
      </c>
      <c r="I15" s="71">
        <v>0.9596</v>
      </c>
      <c r="J15" s="71">
        <v>0.8505</v>
      </c>
      <c r="K15" s="71">
        <v>0.9814</v>
      </c>
    </row>
    <row r="16">
      <c r="B16" s="72"/>
      <c r="C16" s="73" t="s">
        <v>135</v>
      </c>
      <c r="D16" s="74">
        <v>0.9202</v>
      </c>
      <c r="E16" s="74">
        <v>0.9853</v>
      </c>
      <c r="F16" s="74">
        <v>0.7234</v>
      </c>
      <c r="G16" s="74">
        <v>0.9151</v>
      </c>
      <c r="H16" s="74">
        <v>0.942</v>
      </c>
      <c r="I16" s="74">
        <v>0.9489</v>
      </c>
      <c r="J16" s="74">
        <v>0.8184</v>
      </c>
      <c r="K16" s="74">
        <v>0.9768</v>
      </c>
    </row>
    <row r="17">
      <c r="B17" s="72"/>
      <c r="C17" s="73" t="s">
        <v>136</v>
      </c>
      <c r="D17" s="74">
        <v>0.91</v>
      </c>
      <c r="E17" s="74">
        <v>0.9788</v>
      </c>
      <c r="F17" s="74">
        <v>0.7024</v>
      </c>
      <c r="G17" s="74">
        <v>0.9085</v>
      </c>
      <c r="H17" s="74">
        <v>0.9167</v>
      </c>
      <c r="I17" s="74">
        <v>0.9423</v>
      </c>
      <c r="J17" s="74">
        <v>0.7954</v>
      </c>
      <c r="K17" s="74">
        <v>0.9676</v>
      </c>
    </row>
    <row r="18">
      <c r="B18" s="72"/>
      <c r="C18" s="73" t="s">
        <v>137</v>
      </c>
      <c r="D18" s="74">
        <v>0.9458</v>
      </c>
      <c r="E18" s="74">
        <v>0.985</v>
      </c>
      <c r="F18" s="74">
        <v>0.8079</v>
      </c>
      <c r="G18" s="74">
        <v>0.9474</v>
      </c>
      <c r="H18" s="74">
        <v>0.939</v>
      </c>
      <c r="I18" s="74">
        <v>0.9659</v>
      </c>
      <c r="J18" s="74">
        <v>0.8685</v>
      </c>
      <c r="K18" s="74">
        <v>0.9816</v>
      </c>
    </row>
    <row r="19">
      <c r="B19" s="72"/>
      <c r="C19" s="73" t="s">
        <v>138</v>
      </c>
      <c r="D19" s="74">
        <v>0.9296</v>
      </c>
      <c r="E19" s="74">
        <v>0.9858</v>
      </c>
      <c r="F19" s="74">
        <v>0.7512</v>
      </c>
      <c r="G19" s="74">
        <v>0.9263</v>
      </c>
      <c r="H19" s="74">
        <v>0.9435</v>
      </c>
      <c r="I19" s="74">
        <v>0.9552</v>
      </c>
      <c r="J19" s="74">
        <v>0.8364</v>
      </c>
      <c r="K19" s="74">
        <v>0.9785</v>
      </c>
    </row>
    <row r="20">
      <c r="A20" s="82"/>
      <c r="B20" s="90"/>
      <c r="C20" s="91" t="s">
        <v>139</v>
      </c>
      <c r="D20" s="92">
        <v>0.941</v>
      </c>
      <c r="E20" s="92">
        <v>0.9857</v>
      </c>
      <c r="F20" s="92">
        <v>0.7893</v>
      </c>
      <c r="G20" s="92">
        <v>0.9407</v>
      </c>
      <c r="H20" s="92">
        <v>0.942</v>
      </c>
      <c r="I20" s="92">
        <v>0.9627</v>
      </c>
      <c r="J20" s="92">
        <v>0.8589</v>
      </c>
      <c r="K20" s="92">
        <v>0.9788</v>
      </c>
    </row>
    <row r="21">
      <c r="A21" s="81" t="s">
        <v>156</v>
      </c>
      <c r="B21" s="87" t="s">
        <v>35</v>
      </c>
      <c r="C21" s="88" t="s">
        <v>134</v>
      </c>
      <c r="D21" s="89">
        <v>0.916</v>
      </c>
      <c r="E21" s="89">
        <v>0.9218</v>
      </c>
      <c r="F21" s="89">
        <v>0.8806</v>
      </c>
      <c r="G21" s="89">
        <v>0.9793</v>
      </c>
      <c r="H21" s="89">
        <v>0.6473</v>
      </c>
      <c r="I21" s="89">
        <v>0.9497</v>
      </c>
      <c r="J21" s="89">
        <v>0.7461</v>
      </c>
      <c r="K21" s="89">
        <v>0.9204</v>
      </c>
    </row>
    <row r="22">
      <c r="B22" s="72"/>
      <c r="C22" s="73" t="s">
        <v>135</v>
      </c>
      <c r="D22" s="74">
        <v>0.9168</v>
      </c>
      <c r="E22" s="74">
        <v>0.9321</v>
      </c>
      <c r="F22" s="74">
        <v>0.8366</v>
      </c>
      <c r="G22" s="74">
        <v>0.9677</v>
      </c>
      <c r="H22" s="74">
        <v>0.7009</v>
      </c>
      <c r="I22" s="74">
        <v>0.9496</v>
      </c>
      <c r="J22" s="74">
        <v>0.7628</v>
      </c>
      <c r="K22" s="74">
        <v>0.9235</v>
      </c>
      <c r="L22" s="63">
        <f t="shared" ref="L22:L26" si="3">average(H22,H28,H34)</f>
        <v>0.7058666667</v>
      </c>
      <c r="N22" s="63">
        <f t="shared" ref="N22:N26" si="4">average(J22,J28,J34)</f>
        <v>0.7117666667</v>
      </c>
    </row>
    <row r="23">
      <c r="B23" s="72"/>
      <c r="C23" s="73" t="s">
        <v>136</v>
      </c>
      <c r="D23" s="74">
        <v>0.912</v>
      </c>
      <c r="E23" s="74">
        <v>0.9276</v>
      </c>
      <c r="F23" s="74">
        <v>0.8279</v>
      </c>
      <c r="G23" s="74">
        <v>0.9667</v>
      </c>
      <c r="H23" s="74">
        <v>0.6801</v>
      </c>
      <c r="I23" s="74">
        <v>0.9468</v>
      </c>
      <c r="J23" s="74">
        <v>0.7467</v>
      </c>
      <c r="K23" s="74">
        <v>0.9195</v>
      </c>
      <c r="L23" s="63">
        <f t="shared" si="3"/>
        <v>0.688</v>
      </c>
      <c r="N23" s="63">
        <f t="shared" si="4"/>
        <v>0.7189666667</v>
      </c>
    </row>
    <row r="24">
      <c r="B24" s="72"/>
      <c r="C24" s="73" t="s">
        <v>137</v>
      </c>
      <c r="D24" s="74">
        <v>0.9109</v>
      </c>
      <c r="E24" s="74">
        <v>0.9247</v>
      </c>
      <c r="F24" s="74">
        <v>0.834</v>
      </c>
      <c r="G24" s="74">
        <v>0.9688</v>
      </c>
      <c r="H24" s="74">
        <v>0.6652</v>
      </c>
      <c r="I24" s="74">
        <v>0.9462</v>
      </c>
      <c r="J24" s="74">
        <v>0.7401</v>
      </c>
      <c r="K24" s="74">
        <v>0.9183</v>
      </c>
      <c r="L24" s="63">
        <f t="shared" si="3"/>
        <v>0.6974333333</v>
      </c>
      <c r="N24" s="63">
        <f t="shared" si="4"/>
        <v>0.6891333333</v>
      </c>
    </row>
    <row r="25">
      <c r="B25" s="72"/>
      <c r="C25" s="73" t="s">
        <v>138</v>
      </c>
      <c r="D25" s="74">
        <v>0.9151</v>
      </c>
      <c r="E25" s="74">
        <v>0.9314</v>
      </c>
      <c r="F25" s="74">
        <v>0.8301</v>
      </c>
      <c r="G25" s="74">
        <v>0.9663</v>
      </c>
      <c r="H25" s="74">
        <v>0.6979</v>
      </c>
      <c r="I25" s="74">
        <v>0.9485</v>
      </c>
      <c r="J25" s="74">
        <v>0.7583</v>
      </c>
      <c r="K25" s="74">
        <v>0.9209</v>
      </c>
      <c r="L25" s="63">
        <f t="shared" si="3"/>
        <v>0.7257</v>
      </c>
      <c r="N25" s="63">
        <f t="shared" si="4"/>
        <v>0.6845333333</v>
      </c>
    </row>
    <row r="26">
      <c r="B26" s="90"/>
      <c r="C26" s="76" t="s">
        <v>139</v>
      </c>
      <c r="D26" s="68">
        <v>0.9112</v>
      </c>
      <c r="E26" s="68">
        <v>0.9322</v>
      </c>
      <c r="F26" s="68">
        <v>0.8058</v>
      </c>
      <c r="G26" s="68">
        <v>0.96</v>
      </c>
      <c r="H26" s="68">
        <v>0.7039</v>
      </c>
      <c r="I26" s="68">
        <v>0.9459</v>
      </c>
      <c r="J26" s="68">
        <v>0.7514</v>
      </c>
      <c r="K26" s="68">
        <v>0.9219</v>
      </c>
      <c r="L26" s="63">
        <f t="shared" si="3"/>
        <v>0.7242</v>
      </c>
      <c r="N26" s="63">
        <f t="shared" si="4"/>
        <v>0.7028333333</v>
      </c>
    </row>
    <row r="27">
      <c r="B27" s="87" t="s">
        <v>86</v>
      </c>
      <c r="C27" s="70" t="s">
        <v>134</v>
      </c>
      <c r="D27" s="71">
        <v>0.8166</v>
      </c>
      <c r="E27" s="71">
        <v>0.8886</v>
      </c>
      <c r="F27" s="71">
        <v>0.519</v>
      </c>
      <c r="G27" s="71">
        <v>0.8843</v>
      </c>
      <c r="H27" s="71">
        <v>0.5298</v>
      </c>
      <c r="I27" s="71">
        <v>0.8864</v>
      </c>
      <c r="J27" s="71">
        <v>0.5243</v>
      </c>
      <c r="K27" s="71">
        <v>0.7954</v>
      </c>
      <c r="L27" s="19" t="s">
        <v>138</v>
      </c>
      <c r="N27" s="19" t="s">
        <v>158</v>
      </c>
    </row>
    <row r="28">
      <c r="B28" s="72"/>
      <c r="C28" s="73" t="s">
        <v>135</v>
      </c>
      <c r="D28" s="74">
        <v>0.8155</v>
      </c>
      <c r="E28" s="74">
        <v>0.9338</v>
      </c>
      <c r="F28" s="74">
        <v>0.5112</v>
      </c>
      <c r="G28" s="74">
        <v>0.8309</v>
      </c>
      <c r="H28" s="74">
        <v>0.75</v>
      </c>
      <c r="I28" s="74">
        <v>0.8794</v>
      </c>
      <c r="J28" s="74">
        <v>0.608</v>
      </c>
      <c r="K28" s="74">
        <v>0.8665</v>
      </c>
      <c r="L28" s="19" t="s">
        <v>142</v>
      </c>
      <c r="N28" s="19" t="s">
        <v>159</v>
      </c>
    </row>
    <row r="29">
      <c r="B29" s="72"/>
      <c r="C29" s="73" t="s">
        <v>136</v>
      </c>
      <c r="D29" s="74">
        <v>0.8584</v>
      </c>
      <c r="E29" s="74">
        <v>0.9194</v>
      </c>
      <c r="F29" s="74">
        <v>0.6203</v>
      </c>
      <c r="G29" s="74">
        <v>0.9042</v>
      </c>
      <c r="H29" s="74">
        <v>0.6637</v>
      </c>
      <c r="I29" s="74">
        <v>0.9118</v>
      </c>
      <c r="J29" s="74">
        <v>0.6413</v>
      </c>
      <c r="K29" s="74">
        <v>0.8532</v>
      </c>
    </row>
    <row r="30">
      <c r="B30" s="72"/>
      <c r="C30" s="73" t="s">
        <v>137</v>
      </c>
      <c r="D30" s="74">
        <v>0.7726</v>
      </c>
      <c r="E30" s="74">
        <v>0.9153</v>
      </c>
      <c r="F30" s="74">
        <v>0.4389</v>
      </c>
      <c r="G30" s="74">
        <v>0.7924</v>
      </c>
      <c r="H30" s="74">
        <v>0.689</v>
      </c>
      <c r="I30" s="74">
        <v>0.8494</v>
      </c>
      <c r="J30" s="74">
        <v>0.5362</v>
      </c>
      <c r="K30" s="74">
        <v>0.8309</v>
      </c>
    </row>
    <row r="31">
      <c r="B31" s="72"/>
      <c r="C31" s="73" t="s">
        <v>138</v>
      </c>
      <c r="D31" s="74">
        <v>0.7125</v>
      </c>
      <c r="E31" s="75">
        <v>0.929</v>
      </c>
      <c r="F31" s="74">
        <v>0.3765</v>
      </c>
      <c r="G31" s="74">
        <v>0.698</v>
      </c>
      <c r="H31" s="74">
        <v>0.7738</v>
      </c>
      <c r="I31" s="74">
        <v>0.7971</v>
      </c>
      <c r="J31" s="74">
        <v>0.5066</v>
      </c>
      <c r="K31" s="74">
        <v>0.8406</v>
      </c>
    </row>
    <row r="32">
      <c r="B32" s="90"/>
      <c r="C32" s="73" t="s">
        <v>139</v>
      </c>
      <c r="D32" s="74">
        <v>0.7982</v>
      </c>
      <c r="E32" s="74">
        <v>0.9283</v>
      </c>
      <c r="F32" s="74">
        <v>0.481</v>
      </c>
      <c r="G32" s="74">
        <v>0.8134</v>
      </c>
      <c r="H32" s="74">
        <v>0.7336</v>
      </c>
      <c r="I32" s="74">
        <v>0.8671</v>
      </c>
      <c r="J32" s="74">
        <v>0.581</v>
      </c>
      <c r="K32" s="74">
        <v>0.8518</v>
      </c>
    </row>
    <row r="33">
      <c r="B33" s="87" t="s">
        <v>140</v>
      </c>
      <c r="C33" s="70" t="s">
        <v>134</v>
      </c>
      <c r="D33" s="71">
        <v>0.9256</v>
      </c>
      <c r="E33" s="71">
        <v>0.9417</v>
      </c>
      <c r="F33" s="71">
        <v>0.8463</v>
      </c>
      <c r="G33" s="71">
        <v>0.9681</v>
      </c>
      <c r="H33" s="71">
        <v>0.7455</v>
      </c>
      <c r="I33" s="71">
        <v>0.9547</v>
      </c>
      <c r="J33" s="71">
        <v>0.7927</v>
      </c>
      <c r="K33" s="71">
        <v>0.9416</v>
      </c>
    </row>
    <row r="34">
      <c r="B34" s="72"/>
      <c r="C34" s="73" t="s">
        <v>135</v>
      </c>
      <c r="D34" s="74">
        <v>0.9217</v>
      </c>
      <c r="E34" s="74">
        <v>0.9259</v>
      </c>
      <c r="F34" s="74">
        <v>0.896</v>
      </c>
      <c r="G34" s="74">
        <v>0.9818</v>
      </c>
      <c r="H34" s="74">
        <v>0.6667</v>
      </c>
      <c r="I34" s="74">
        <v>0.953</v>
      </c>
      <c r="J34" s="74">
        <v>0.7645</v>
      </c>
      <c r="K34" s="74">
        <v>0.9221</v>
      </c>
    </row>
    <row r="35">
      <c r="B35" s="72"/>
      <c r="C35" s="73" t="s">
        <v>136</v>
      </c>
      <c r="D35" s="74">
        <v>0.9174</v>
      </c>
      <c r="E35" s="74">
        <v>0.936</v>
      </c>
      <c r="F35" s="74">
        <v>0.8245</v>
      </c>
      <c r="G35" s="74">
        <v>0.9639</v>
      </c>
      <c r="H35" s="74">
        <v>0.7202</v>
      </c>
      <c r="I35" s="74">
        <v>0.9497</v>
      </c>
      <c r="J35" s="74">
        <v>0.7689</v>
      </c>
      <c r="K35" s="74">
        <v>0.9299</v>
      </c>
    </row>
    <row r="36">
      <c r="B36" s="72"/>
      <c r="C36" s="73" t="s">
        <v>137</v>
      </c>
      <c r="D36" s="74">
        <v>0.9256</v>
      </c>
      <c r="E36" s="74">
        <v>0.9402</v>
      </c>
      <c r="F36" s="74">
        <v>0.8522</v>
      </c>
      <c r="G36" s="74">
        <v>0.9698</v>
      </c>
      <c r="H36" s="74">
        <v>0.7381</v>
      </c>
      <c r="I36" s="74">
        <v>0.9548</v>
      </c>
      <c r="J36" s="74">
        <v>0.7911</v>
      </c>
      <c r="K36" s="74">
        <v>0.9209</v>
      </c>
    </row>
    <row r="37">
      <c r="B37" s="72"/>
      <c r="C37" s="73" t="s">
        <v>138</v>
      </c>
      <c r="D37" s="74">
        <v>0.9279</v>
      </c>
      <c r="E37" s="74">
        <v>0.9338</v>
      </c>
      <c r="F37" s="74">
        <v>0.8943</v>
      </c>
      <c r="G37" s="74">
        <v>0.9804</v>
      </c>
      <c r="H37" s="74">
        <v>0.7054</v>
      </c>
      <c r="I37" s="74">
        <v>0.9565</v>
      </c>
      <c r="J37" s="74">
        <v>0.7887</v>
      </c>
      <c r="K37" s="74">
        <v>0.918</v>
      </c>
    </row>
    <row r="38">
      <c r="A38" s="82"/>
      <c r="B38" s="90"/>
      <c r="C38" s="91" t="s">
        <v>139</v>
      </c>
      <c r="D38" s="92">
        <v>0.9191</v>
      </c>
      <c r="E38" s="92">
        <v>0.9391</v>
      </c>
      <c r="F38" s="92">
        <v>0.822</v>
      </c>
      <c r="G38" s="92">
        <v>0.9625</v>
      </c>
      <c r="H38" s="92">
        <v>0.7351</v>
      </c>
      <c r="I38" s="92">
        <v>0.9506</v>
      </c>
      <c r="J38" s="92">
        <v>0.7761</v>
      </c>
      <c r="K38" s="92">
        <v>0.9297</v>
      </c>
    </row>
    <row r="39">
      <c r="A39" s="81" t="s">
        <v>157</v>
      </c>
      <c r="B39" s="87" t="s">
        <v>35</v>
      </c>
      <c r="C39" s="88" t="s">
        <v>134</v>
      </c>
      <c r="D39" s="89">
        <v>0.8904</v>
      </c>
      <c r="E39" s="89">
        <v>0.8858</v>
      </c>
      <c r="F39" s="89">
        <v>0.936</v>
      </c>
      <c r="G39" s="89">
        <v>0.9926</v>
      </c>
      <c r="H39" s="89">
        <v>0.4568</v>
      </c>
      <c r="I39" s="89">
        <v>0.9362</v>
      </c>
      <c r="J39" s="89">
        <v>0.614</v>
      </c>
      <c r="K39" s="89">
        <v>0.776</v>
      </c>
    </row>
    <row r="40">
      <c r="B40" s="72"/>
      <c r="C40" s="73" t="s">
        <v>135</v>
      </c>
      <c r="D40" s="74">
        <v>0.8867</v>
      </c>
      <c r="E40" s="74">
        <v>0.8822</v>
      </c>
      <c r="F40" s="74">
        <v>0.9333</v>
      </c>
      <c r="G40" s="74">
        <v>0.9926</v>
      </c>
      <c r="H40" s="74">
        <v>0.4375</v>
      </c>
      <c r="I40" s="74">
        <v>0.9341</v>
      </c>
      <c r="J40" s="74">
        <v>0.5957</v>
      </c>
      <c r="K40" s="74">
        <v>0.7665</v>
      </c>
      <c r="L40" s="63">
        <f t="shared" ref="L40:L44" si="5">average(H40,H46,H52)</f>
        <v>0.4930333333</v>
      </c>
      <c r="N40" s="63">
        <f t="shared" ref="N40:N44" si="6">average(J40,J46,J52)</f>
        <v>0.5751</v>
      </c>
    </row>
    <row r="41">
      <c r="B41" s="72"/>
      <c r="C41" s="73" t="s">
        <v>136</v>
      </c>
      <c r="D41" s="74">
        <v>0.889</v>
      </c>
      <c r="E41" s="74">
        <v>0.8851</v>
      </c>
      <c r="F41" s="74">
        <v>0.9271</v>
      </c>
      <c r="G41" s="74">
        <v>0.9916</v>
      </c>
      <c r="H41" s="74">
        <v>0.4539</v>
      </c>
      <c r="I41" s="74">
        <v>0.9353</v>
      </c>
      <c r="J41" s="74">
        <v>0.6094</v>
      </c>
      <c r="K41" s="74">
        <v>0.7573</v>
      </c>
      <c r="L41" s="63">
        <f t="shared" si="5"/>
        <v>0.4553666667</v>
      </c>
      <c r="N41" s="63">
        <f t="shared" si="6"/>
        <v>0.5958666667</v>
      </c>
    </row>
    <row r="42">
      <c r="B42" s="72"/>
      <c r="C42" s="73" t="s">
        <v>137</v>
      </c>
      <c r="D42" s="74">
        <v>0.8902</v>
      </c>
      <c r="E42" s="74">
        <v>0.8921</v>
      </c>
      <c r="F42" s="74">
        <v>0.874</v>
      </c>
      <c r="G42" s="74">
        <v>0.9832</v>
      </c>
      <c r="H42" s="74">
        <v>0.4955</v>
      </c>
      <c r="I42" s="74">
        <v>0.9354</v>
      </c>
      <c r="J42" s="74">
        <v>0.6325</v>
      </c>
      <c r="K42" s="74">
        <v>0.7488</v>
      </c>
      <c r="L42" s="63">
        <f t="shared" si="5"/>
        <v>0.4975</v>
      </c>
      <c r="N42" s="63">
        <f t="shared" si="6"/>
        <v>0.594</v>
      </c>
    </row>
    <row r="43">
      <c r="B43" s="72"/>
      <c r="C43" s="73" t="s">
        <v>138</v>
      </c>
      <c r="D43" s="74">
        <v>0.8879</v>
      </c>
      <c r="E43" s="74">
        <v>0.8874</v>
      </c>
      <c r="F43" s="74">
        <v>0.8924</v>
      </c>
      <c r="G43" s="74">
        <v>0.9867</v>
      </c>
      <c r="H43" s="74">
        <v>0.4688</v>
      </c>
      <c r="I43" s="74">
        <v>0.9344</v>
      </c>
      <c r="J43" s="74">
        <v>0.6146</v>
      </c>
      <c r="K43" s="74">
        <v>0.7551</v>
      </c>
      <c r="L43" s="63">
        <f t="shared" si="5"/>
        <v>0.4926</v>
      </c>
      <c r="N43" s="63">
        <f t="shared" si="6"/>
        <v>0.5696666667</v>
      </c>
    </row>
    <row r="44">
      <c r="B44" s="90"/>
      <c r="C44" s="76" t="s">
        <v>139</v>
      </c>
      <c r="D44" s="68">
        <v>0.891</v>
      </c>
      <c r="E44" s="68">
        <v>0.8922</v>
      </c>
      <c r="F44" s="68">
        <v>0.881</v>
      </c>
      <c r="G44" s="68">
        <v>0.9842</v>
      </c>
      <c r="H44" s="68">
        <v>0.4955</v>
      </c>
      <c r="I44" s="68">
        <v>0.936</v>
      </c>
      <c r="J44" s="68">
        <v>0.6343</v>
      </c>
      <c r="K44" s="68">
        <v>0.7474</v>
      </c>
      <c r="L44" s="63">
        <f t="shared" si="5"/>
        <v>0.5153666667</v>
      </c>
      <c r="N44" s="63">
        <f t="shared" si="6"/>
        <v>0.5948666667</v>
      </c>
    </row>
    <row r="45">
      <c r="B45" s="87" t="s">
        <v>86</v>
      </c>
      <c r="C45" s="70" t="s">
        <v>134</v>
      </c>
      <c r="D45" s="71">
        <v>0.8104</v>
      </c>
      <c r="E45" s="71">
        <v>0.8755</v>
      </c>
      <c r="F45" s="71">
        <v>0.5032</v>
      </c>
      <c r="G45" s="71">
        <v>0.8927</v>
      </c>
      <c r="H45" s="71">
        <v>0.4613</v>
      </c>
      <c r="I45" s="71">
        <v>0.884</v>
      </c>
      <c r="J45" s="71">
        <v>0.4814</v>
      </c>
      <c r="K45" s="71">
        <v>0.7104</v>
      </c>
      <c r="L45" s="19" t="s">
        <v>142</v>
      </c>
      <c r="N45" s="19" t="s">
        <v>158</v>
      </c>
    </row>
    <row r="46">
      <c r="B46" s="72"/>
      <c r="C46" s="73" t="s">
        <v>135</v>
      </c>
      <c r="D46" s="74">
        <v>0.7922</v>
      </c>
      <c r="E46" s="74">
        <v>0.8882</v>
      </c>
      <c r="F46" s="74">
        <v>0.4622</v>
      </c>
      <c r="G46" s="74">
        <v>0.8502</v>
      </c>
      <c r="H46" s="74">
        <v>0.5461</v>
      </c>
      <c r="I46" s="74">
        <v>0.8688</v>
      </c>
      <c r="J46" s="74">
        <v>0.5007</v>
      </c>
      <c r="K46" s="74">
        <v>0.7583</v>
      </c>
      <c r="L46" s="19" t="s">
        <v>152</v>
      </c>
      <c r="N46" s="19" t="s">
        <v>160</v>
      </c>
    </row>
    <row r="47">
      <c r="B47" s="72"/>
      <c r="C47" s="73" t="s">
        <v>136</v>
      </c>
      <c r="D47" s="74">
        <v>0.8657</v>
      </c>
      <c r="E47" s="74">
        <v>0.8767</v>
      </c>
      <c r="F47" s="74">
        <v>0.7711</v>
      </c>
      <c r="G47" s="74">
        <v>0.9705</v>
      </c>
      <c r="H47" s="74">
        <v>0.4211</v>
      </c>
      <c r="I47" s="74">
        <v>0.9213</v>
      </c>
      <c r="J47" s="74">
        <v>0.5448</v>
      </c>
      <c r="K47" s="74">
        <v>0.765</v>
      </c>
    </row>
    <row r="48">
      <c r="B48" s="72"/>
      <c r="C48" s="73" t="s">
        <v>137</v>
      </c>
      <c r="D48" s="74">
        <v>0.8169</v>
      </c>
      <c r="E48" s="74">
        <v>0.8889</v>
      </c>
      <c r="F48" s="74">
        <v>0.5197</v>
      </c>
      <c r="G48" s="74">
        <v>0.8843</v>
      </c>
      <c r="H48" s="74">
        <v>0.5312</v>
      </c>
      <c r="I48" s="74">
        <v>0.8866</v>
      </c>
      <c r="J48" s="74">
        <v>0.5254</v>
      </c>
      <c r="K48" s="74">
        <v>0.7417</v>
      </c>
    </row>
    <row r="49">
      <c r="B49" s="72"/>
      <c r="C49" s="73" t="s">
        <v>138</v>
      </c>
      <c r="D49" s="74">
        <v>0.7695</v>
      </c>
      <c r="E49" s="75">
        <v>0.8863</v>
      </c>
      <c r="F49" s="74">
        <v>0.4208</v>
      </c>
      <c r="G49" s="74">
        <v>0.8204</v>
      </c>
      <c r="H49" s="74">
        <v>0.5536</v>
      </c>
      <c r="I49" s="74">
        <v>0.8521</v>
      </c>
      <c r="J49" s="74">
        <v>0.4781</v>
      </c>
      <c r="K49" s="74">
        <v>0.7555</v>
      </c>
    </row>
    <row r="50">
      <c r="B50" s="90"/>
      <c r="C50" s="73" t="s">
        <v>139</v>
      </c>
      <c r="D50" s="74">
        <v>0.7956</v>
      </c>
      <c r="E50" s="74">
        <v>0.8865</v>
      </c>
      <c r="F50" s="74">
        <v>0.4687</v>
      </c>
      <c r="G50" s="74">
        <v>0.8572</v>
      </c>
      <c r="H50" s="74">
        <v>0.5342</v>
      </c>
      <c r="I50" s="74">
        <v>0.8716</v>
      </c>
      <c r="J50" s="74">
        <v>0.4993</v>
      </c>
      <c r="K50" s="74">
        <v>0.7237</v>
      </c>
    </row>
    <row r="51">
      <c r="B51" s="87" t="s">
        <v>140</v>
      </c>
      <c r="C51" s="70" t="s">
        <v>134</v>
      </c>
      <c r="D51" s="71">
        <v>0.8907</v>
      </c>
      <c r="E51" s="71">
        <v>0.8822</v>
      </c>
      <c r="F51" s="71">
        <v>0.9832</v>
      </c>
      <c r="G51" s="71">
        <v>0.9982</v>
      </c>
      <c r="H51" s="71">
        <v>0.4345</v>
      </c>
      <c r="I51" s="71">
        <v>0.9366</v>
      </c>
      <c r="J51" s="71">
        <v>0.6027</v>
      </c>
      <c r="K51" s="71">
        <v>0.7294</v>
      </c>
    </row>
    <row r="52">
      <c r="B52" s="72"/>
      <c r="C52" s="73" t="s">
        <v>135</v>
      </c>
      <c r="D52" s="74">
        <v>0.8884</v>
      </c>
      <c r="E52" s="74">
        <v>0.8919</v>
      </c>
      <c r="F52" s="74">
        <v>0.8605</v>
      </c>
      <c r="G52" s="74">
        <v>0.9811</v>
      </c>
      <c r="H52" s="74">
        <v>0.4955</v>
      </c>
      <c r="I52" s="74">
        <v>0.9344</v>
      </c>
      <c r="J52" s="74">
        <v>0.6289</v>
      </c>
      <c r="K52" s="74">
        <v>0.8081</v>
      </c>
    </row>
    <row r="53">
      <c r="B53" s="72"/>
      <c r="C53" s="73" t="s">
        <v>136</v>
      </c>
      <c r="D53" s="74">
        <v>0.8916</v>
      </c>
      <c r="E53" s="74">
        <v>0.8915</v>
      </c>
      <c r="F53" s="74">
        <v>0.8919</v>
      </c>
      <c r="G53" s="74">
        <v>0.986</v>
      </c>
      <c r="H53" s="74">
        <v>0.4911</v>
      </c>
      <c r="I53" s="74">
        <v>0.9364</v>
      </c>
      <c r="J53" s="74">
        <v>0.6334</v>
      </c>
      <c r="K53" s="74">
        <v>0.8022</v>
      </c>
    </row>
    <row r="54">
      <c r="B54" s="72"/>
      <c r="C54" s="73" t="s">
        <v>137</v>
      </c>
      <c r="D54" s="74">
        <v>0.893</v>
      </c>
      <c r="E54" s="74">
        <v>0.8875</v>
      </c>
      <c r="F54" s="74">
        <v>0.9456</v>
      </c>
      <c r="G54" s="74">
        <v>0.9937</v>
      </c>
      <c r="H54" s="74">
        <v>0.4658</v>
      </c>
      <c r="I54" s="74">
        <v>0.9376</v>
      </c>
      <c r="J54" s="74">
        <v>0.6241</v>
      </c>
      <c r="K54" s="74">
        <v>0.6697</v>
      </c>
    </row>
    <row r="55">
      <c r="B55" s="72"/>
      <c r="C55" s="73" t="s">
        <v>138</v>
      </c>
      <c r="D55" s="74">
        <v>0.8919</v>
      </c>
      <c r="E55" s="74">
        <v>0.8857</v>
      </c>
      <c r="F55" s="74">
        <v>0.9533</v>
      </c>
      <c r="G55" s="74">
        <v>0.9947</v>
      </c>
      <c r="H55" s="74">
        <v>0.4554</v>
      </c>
      <c r="I55" s="74">
        <v>0.9371</v>
      </c>
      <c r="J55" s="74">
        <v>0.6163</v>
      </c>
      <c r="K55" s="74">
        <v>0.8919</v>
      </c>
    </row>
    <row r="56">
      <c r="A56" s="82"/>
      <c r="B56" s="90"/>
      <c r="C56" s="91" t="s">
        <v>139</v>
      </c>
      <c r="D56" s="92">
        <v>0.8944</v>
      </c>
      <c r="E56" s="92">
        <v>0.8961</v>
      </c>
      <c r="F56" s="92">
        <v>0.8807</v>
      </c>
      <c r="G56" s="92">
        <v>0.9835</v>
      </c>
      <c r="H56" s="92">
        <v>0.5164</v>
      </c>
      <c r="I56" s="92">
        <v>0.9378</v>
      </c>
      <c r="J56" s="92">
        <v>0.651</v>
      </c>
      <c r="K56" s="92">
        <v>0.8342</v>
      </c>
    </row>
  </sheetData>
  <mergeCells count="19">
    <mergeCell ref="B1:B2"/>
    <mergeCell ref="B3:B8"/>
    <mergeCell ref="A1:A2"/>
    <mergeCell ref="C1:C2"/>
    <mergeCell ref="D1:K1"/>
    <mergeCell ref="E2:F2"/>
    <mergeCell ref="G2:H2"/>
    <mergeCell ref="I2:J2"/>
    <mergeCell ref="A3:A20"/>
    <mergeCell ref="B39:B44"/>
    <mergeCell ref="B45:B50"/>
    <mergeCell ref="B9:B14"/>
    <mergeCell ref="B15:B20"/>
    <mergeCell ref="A21:A38"/>
    <mergeCell ref="B21:B26"/>
    <mergeCell ref="B27:B32"/>
    <mergeCell ref="B33:B38"/>
    <mergeCell ref="A39:A56"/>
    <mergeCell ref="B51:B56"/>
  </mergeCells>
  <dataValidations>
    <dataValidation type="list" allowBlank="1" showErrorMessage="1" sqref="C3:C56">
      <formula1>"TANPA AUGMENTASI,EDA,SMOTE,BACK TRANSLATION,MASKING,PARAPHRASE GENERATION,SYNTHETIC AUGMENTATION"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25"/>
    <col customWidth="1" min="2" max="2" width="21.13"/>
    <col customWidth="1" min="3" max="3" width="19.88"/>
    <col customWidth="1" min="4" max="4" width="18.5"/>
    <col customWidth="1" min="5" max="8" width="7.5"/>
    <col customWidth="1" min="9" max="9" width="12.5"/>
  </cols>
  <sheetData>
    <row r="2">
      <c r="B2" s="81" t="s">
        <v>129</v>
      </c>
      <c r="C2" s="81" t="s">
        <v>130</v>
      </c>
      <c r="E2" s="81" t="s">
        <v>131</v>
      </c>
      <c r="G2" s="81" t="s">
        <v>132</v>
      </c>
      <c r="I2" s="81" t="s">
        <v>133</v>
      </c>
    </row>
    <row r="3">
      <c r="A3" s="19" t="s">
        <v>161</v>
      </c>
      <c r="B3" s="81">
        <v>0.9015</v>
      </c>
      <c r="C3" s="81">
        <v>0.9097</v>
      </c>
      <c r="D3" s="81">
        <v>0.848</v>
      </c>
      <c r="E3" s="81">
        <v>0.9751</v>
      </c>
      <c r="F3" s="81">
        <v>0.5893</v>
      </c>
      <c r="G3" s="81">
        <v>0.9413</v>
      </c>
      <c r="H3" s="81">
        <v>0.6953</v>
      </c>
      <c r="I3" s="81">
        <v>0.9021</v>
      </c>
      <c r="J3" s="20" t="s">
        <v>162</v>
      </c>
    </row>
    <row r="4">
      <c r="A4" s="19" t="s">
        <v>163</v>
      </c>
      <c r="B4" s="81">
        <v>0.8967</v>
      </c>
      <c r="C4" s="81">
        <v>0.9086</v>
      </c>
      <c r="D4" s="81">
        <v>0.8208</v>
      </c>
      <c r="E4" s="81">
        <v>0.9698</v>
      </c>
      <c r="F4" s="81">
        <v>0.5863</v>
      </c>
      <c r="G4" s="81">
        <v>0.9382</v>
      </c>
      <c r="H4" s="81">
        <v>0.684</v>
      </c>
      <c r="I4" s="81">
        <v>0.8898</v>
      </c>
    </row>
    <row r="6">
      <c r="A6" s="19" t="s">
        <v>164</v>
      </c>
      <c r="G6" s="19" t="s">
        <v>165</v>
      </c>
      <c r="J6" s="19" t="s">
        <v>166</v>
      </c>
    </row>
    <row r="7">
      <c r="A7" s="20" t="s">
        <v>167</v>
      </c>
      <c r="G7" s="20" t="s">
        <v>168</v>
      </c>
    </row>
    <row r="8">
      <c r="A8" s="20" t="s">
        <v>169</v>
      </c>
    </row>
    <row r="9">
      <c r="A9" s="20" t="s">
        <v>170</v>
      </c>
    </row>
    <row r="11">
      <c r="A11" s="97" t="s">
        <v>171</v>
      </c>
      <c r="B11" s="98" t="s">
        <v>129</v>
      </c>
      <c r="C11" s="98" t="s">
        <v>130</v>
      </c>
      <c r="E11" s="98" t="s">
        <v>131</v>
      </c>
      <c r="G11" s="98" t="s">
        <v>132</v>
      </c>
      <c r="I11" s="98" t="s">
        <v>133</v>
      </c>
    </row>
    <row r="12">
      <c r="A12" s="19" t="s">
        <v>172</v>
      </c>
      <c r="B12" s="19">
        <v>0.8995</v>
      </c>
      <c r="C12" s="19">
        <v>0.9063</v>
      </c>
      <c r="D12" s="19">
        <v>0.8533</v>
      </c>
      <c r="E12" s="19">
        <v>0.9769</v>
      </c>
      <c r="F12" s="97">
        <v>0.5714</v>
      </c>
      <c r="G12" s="19">
        <v>0.9402</v>
      </c>
      <c r="H12" s="19">
        <v>0.6845</v>
      </c>
      <c r="I12" s="19">
        <v>0.9021</v>
      </c>
    </row>
    <row r="13">
      <c r="A13" s="19" t="s">
        <v>173</v>
      </c>
      <c r="B13" s="19">
        <v>0.9131</v>
      </c>
      <c r="C13" s="19">
        <v>0.9298</v>
      </c>
      <c r="D13" s="19">
        <v>0.8256</v>
      </c>
      <c r="E13" s="19">
        <v>0.9656</v>
      </c>
      <c r="F13" s="97">
        <v>0.6905</v>
      </c>
      <c r="G13" s="19">
        <v>0.9474</v>
      </c>
      <c r="H13" s="19">
        <v>0.752</v>
      </c>
      <c r="I13" s="19">
        <v>0.9485</v>
      </c>
      <c r="K13" s="19" t="s">
        <v>174</v>
      </c>
    </row>
    <row r="14">
      <c r="A14" s="19" t="s">
        <v>175</v>
      </c>
      <c r="B14" s="19">
        <v>0.9035</v>
      </c>
      <c r="C14" s="19">
        <v>0.9186</v>
      </c>
      <c r="D14" s="19">
        <v>0.8168</v>
      </c>
      <c r="E14" s="19">
        <v>0.9663</v>
      </c>
      <c r="F14" s="97">
        <v>0.6369</v>
      </c>
      <c r="G14" s="19">
        <v>0.9419</v>
      </c>
      <c r="H14" s="19">
        <v>0.7157</v>
      </c>
      <c r="I14" s="19">
        <v>0.9194</v>
      </c>
    </row>
    <row r="15">
      <c r="F15" s="97"/>
    </row>
    <row r="16">
      <c r="A16" s="97" t="s">
        <v>176</v>
      </c>
      <c r="B16" s="98" t="s">
        <v>129</v>
      </c>
      <c r="C16" s="98" t="s">
        <v>130</v>
      </c>
      <c r="E16" s="98" t="s">
        <v>131</v>
      </c>
      <c r="G16" s="98" t="s">
        <v>132</v>
      </c>
      <c r="I16" s="98" t="s">
        <v>133</v>
      </c>
    </row>
    <row r="17">
      <c r="A17" s="19" t="s">
        <v>177</v>
      </c>
      <c r="B17" s="81">
        <v>0.8989</v>
      </c>
      <c r="C17" s="81">
        <v>0.9339</v>
      </c>
      <c r="D17" s="81">
        <v>0.7438</v>
      </c>
      <c r="E17" s="81">
        <v>0.9418</v>
      </c>
      <c r="F17" s="98">
        <v>0.7173</v>
      </c>
      <c r="G17" s="81">
        <v>0.9378</v>
      </c>
      <c r="H17" s="81">
        <v>0.7303</v>
      </c>
      <c r="I17" s="99">
        <v>0.9156</v>
      </c>
    </row>
    <row r="18">
      <c r="A18" s="19" t="s">
        <v>178</v>
      </c>
      <c r="B18" s="19">
        <v>0.9018</v>
      </c>
      <c r="C18" s="19">
        <v>0.939</v>
      </c>
      <c r="D18" s="19">
        <v>0.7433</v>
      </c>
      <c r="E18" s="19">
        <v>0.9397</v>
      </c>
      <c r="F18" s="97">
        <v>0.7411</v>
      </c>
      <c r="G18" s="19">
        <v>0.9393</v>
      </c>
      <c r="H18" s="19">
        <v>0.7422</v>
      </c>
      <c r="I18" s="19">
        <v>0.9175</v>
      </c>
    </row>
    <row r="19">
      <c r="A19" s="100" t="s">
        <v>179</v>
      </c>
      <c r="B19" s="75">
        <v>0.9109</v>
      </c>
      <c r="C19" s="75">
        <v>0.9255</v>
      </c>
      <c r="D19" s="75">
        <v>0.8303</v>
      </c>
      <c r="E19" s="75">
        <v>0.9677</v>
      </c>
      <c r="F19" s="101">
        <v>0.6696</v>
      </c>
      <c r="G19" s="75">
        <v>0.9462</v>
      </c>
      <c r="H19" s="75">
        <v>0.7414</v>
      </c>
      <c r="I19" s="102">
        <v>0.9297</v>
      </c>
    </row>
    <row r="20">
      <c r="F20" s="103"/>
      <c r="K20" s="19" t="s">
        <v>180</v>
      </c>
    </row>
    <row r="21">
      <c r="A21" s="19" t="s">
        <v>181</v>
      </c>
      <c r="B21" s="19">
        <v>0.9293</v>
      </c>
      <c r="C21" s="19">
        <v>0.9437</v>
      </c>
      <c r="D21" s="19">
        <v>0.8579</v>
      </c>
      <c r="E21" s="19">
        <v>0.9705</v>
      </c>
      <c r="F21" s="97">
        <v>0.7545</v>
      </c>
      <c r="G21" s="19">
        <v>0.9569</v>
      </c>
      <c r="H21" s="19">
        <v>0.8029</v>
      </c>
      <c r="I21" s="19">
        <v>0.9505</v>
      </c>
    </row>
    <row r="22">
      <c r="A22" s="19" t="s">
        <v>182</v>
      </c>
      <c r="B22" s="19">
        <v>0.9316</v>
      </c>
      <c r="C22" s="19">
        <v>0.9525</v>
      </c>
      <c r="D22" s="19">
        <v>0.8372</v>
      </c>
      <c r="E22" s="19">
        <v>0.9635</v>
      </c>
      <c r="F22" s="97">
        <v>0.7961</v>
      </c>
      <c r="G22" s="19">
        <v>0.958</v>
      </c>
      <c r="H22" s="19">
        <v>0.8162</v>
      </c>
      <c r="I22" s="19">
        <v>0.9563</v>
      </c>
    </row>
    <row r="23">
      <c r="A23" s="19" t="s">
        <v>183</v>
      </c>
      <c r="B23" s="19">
        <v>0.929</v>
      </c>
      <c r="C23" s="19">
        <v>0.9437</v>
      </c>
      <c r="D23" s="19">
        <v>0.8564</v>
      </c>
      <c r="E23" s="19">
        <v>0.9702</v>
      </c>
      <c r="F23" s="97">
        <v>0.7545</v>
      </c>
      <c r="G23" s="19">
        <v>0.9568</v>
      </c>
      <c r="H23" s="19">
        <v>0.8022</v>
      </c>
      <c r="I23" s="19">
        <v>0.9333</v>
      </c>
    </row>
    <row r="24">
      <c r="F24" s="103"/>
    </row>
    <row r="25">
      <c r="A25" s="97" t="s">
        <v>184</v>
      </c>
      <c r="B25" s="98" t="s">
        <v>129</v>
      </c>
      <c r="C25" s="98" t="s">
        <v>130</v>
      </c>
      <c r="E25" s="98" t="s">
        <v>131</v>
      </c>
      <c r="G25" s="98" t="s">
        <v>132</v>
      </c>
      <c r="I25" s="98" t="s">
        <v>133</v>
      </c>
      <c r="J25" s="97" t="s">
        <v>185</v>
      </c>
    </row>
    <row r="26">
      <c r="A26" s="19" t="s">
        <v>186</v>
      </c>
      <c r="B26" s="19">
        <v>0.9131</v>
      </c>
      <c r="C26" s="19">
        <v>0.9298</v>
      </c>
      <c r="D26" s="19">
        <v>0.8256</v>
      </c>
      <c r="E26" s="19">
        <v>0.9656</v>
      </c>
      <c r="F26" s="97">
        <v>0.6905</v>
      </c>
      <c r="G26" s="19">
        <v>0.9474</v>
      </c>
      <c r="H26" s="19">
        <v>0.752</v>
      </c>
      <c r="I26" s="19">
        <v>0.9485</v>
      </c>
      <c r="J26" s="19" t="s">
        <v>187</v>
      </c>
    </row>
    <row r="27">
      <c r="A27" s="19" t="s">
        <v>188</v>
      </c>
      <c r="B27" s="19">
        <v>0.916</v>
      </c>
      <c r="C27" s="19">
        <v>0.935</v>
      </c>
      <c r="D27" s="19">
        <v>0.8208</v>
      </c>
      <c r="E27" s="19">
        <v>0.9632</v>
      </c>
      <c r="F27" s="97">
        <v>0.7158</v>
      </c>
      <c r="G27" s="19">
        <v>0.9489</v>
      </c>
      <c r="H27" s="19">
        <v>0.7647</v>
      </c>
      <c r="I27" s="19">
        <v>0.951036916871273</v>
      </c>
      <c r="J27" s="19" t="s">
        <v>189</v>
      </c>
    </row>
    <row r="28">
      <c r="A28" s="19" t="s">
        <v>190</v>
      </c>
      <c r="B28" s="19">
        <v>0.916</v>
      </c>
      <c r="C28" s="19">
        <v>0.935</v>
      </c>
      <c r="D28" s="19">
        <v>0.8208</v>
      </c>
      <c r="E28" s="19">
        <v>0.9632</v>
      </c>
      <c r="F28" s="97">
        <v>0.7158</v>
      </c>
      <c r="G28" s="19">
        <v>0.9489</v>
      </c>
      <c r="H28" s="19">
        <v>0.7647</v>
      </c>
      <c r="I28" s="19">
        <v>0.951031697315895</v>
      </c>
      <c r="J28" s="19" t="s">
        <v>189</v>
      </c>
    </row>
    <row r="29">
      <c r="A29" s="19" t="s">
        <v>191</v>
      </c>
      <c r="B29" s="19">
        <v>0.916</v>
      </c>
      <c r="C29" s="19">
        <v>0.935</v>
      </c>
      <c r="D29" s="19">
        <v>0.8208</v>
      </c>
      <c r="E29" s="19">
        <v>0.9632</v>
      </c>
      <c r="F29" s="97">
        <v>0.7158</v>
      </c>
      <c r="G29" s="19">
        <v>0.9489</v>
      </c>
      <c r="H29" s="19">
        <v>0.7647</v>
      </c>
      <c r="I29" s="19">
        <v>0.951043180337726</v>
      </c>
      <c r="J29" s="19" t="s">
        <v>189</v>
      </c>
      <c r="K29" s="19" t="s">
        <v>192</v>
      </c>
    </row>
    <row r="31">
      <c r="A31" s="19" t="s">
        <v>193</v>
      </c>
      <c r="B31" s="19">
        <v>0.9129</v>
      </c>
      <c r="C31" s="19">
        <v>0.928</v>
      </c>
      <c r="D31" s="19">
        <v>0.8312</v>
      </c>
      <c r="E31" s="19">
        <v>0.9674</v>
      </c>
      <c r="F31" s="97">
        <v>0.6815</v>
      </c>
      <c r="G31" s="19">
        <v>0.9473</v>
      </c>
      <c r="H31" s="19">
        <v>0.749</v>
      </c>
      <c r="I31" s="19">
        <v>0.9218</v>
      </c>
      <c r="J31" s="19" t="s">
        <v>194</v>
      </c>
    </row>
    <row r="32">
      <c r="A32" s="19" t="s">
        <v>195</v>
      </c>
      <c r="B32" s="19">
        <v>0.9001</v>
      </c>
      <c r="C32" s="19">
        <v>0.9334</v>
      </c>
      <c r="D32" s="19">
        <v>0.75</v>
      </c>
      <c r="E32" s="19">
        <v>0.9439</v>
      </c>
      <c r="F32" s="97">
        <v>0.7143</v>
      </c>
      <c r="G32" s="19">
        <v>0.9386</v>
      </c>
      <c r="H32" s="19">
        <v>0.7317</v>
      </c>
      <c r="I32" s="19">
        <v>0.9158</v>
      </c>
      <c r="J32" s="19" t="s">
        <v>196</v>
      </c>
    </row>
    <row r="33">
      <c r="A33" s="19" t="s">
        <v>197</v>
      </c>
      <c r="B33" s="19">
        <v>0.8984</v>
      </c>
      <c r="C33" s="19">
        <v>0.9431</v>
      </c>
      <c r="D33" s="19">
        <v>0.7211</v>
      </c>
      <c r="E33" s="19">
        <v>0.9306</v>
      </c>
      <c r="F33" s="97">
        <v>0.7619</v>
      </c>
      <c r="G33" s="19">
        <v>0.9368</v>
      </c>
      <c r="H33" s="19">
        <v>0.741</v>
      </c>
      <c r="I33" s="19">
        <v>0.9217</v>
      </c>
      <c r="J33" s="19" t="s">
        <v>198</v>
      </c>
      <c r="K33" s="19" t="s">
        <v>199</v>
      </c>
    </row>
    <row r="34">
      <c r="A34" s="19" t="s">
        <v>200</v>
      </c>
      <c r="B34" s="19">
        <v>0.8941</v>
      </c>
      <c r="C34" s="19">
        <v>0.9394</v>
      </c>
      <c r="D34" s="19">
        <v>0.7127</v>
      </c>
      <c r="E34" s="19">
        <v>0.9291</v>
      </c>
      <c r="F34" s="97">
        <v>0.7455</v>
      </c>
      <c r="G34" s="19">
        <v>0.9342</v>
      </c>
      <c r="H34" s="19">
        <v>0.7287</v>
      </c>
      <c r="I34" s="19">
        <v>0.9256</v>
      </c>
      <c r="J34" s="19" t="s">
        <v>198</v>
      </c>
    </row>
    <row r="36">
      <c r="A36" s="19" t="s">
        <v>201</v>
      </c>
      <c r="B36" s="19">
        <v>0.931</v>
      </c>
      <c r="C36" s="19">
        <v>0.9518</v>
      </c>
      <c r="D36" s="19">
        <v>0.8367</v>
      </c>
      <c r="E36" s="19">
        <v>0.9635</v>
      </c>
      <c r="F36" s="97">
        <v>0.7932</v>
      </c>
      <c r="G36" s="19">
        <v>0.9576</v>
      </c>
      <c r="H36" s="19">
        <v>0.8144</v>
      </c>
      <c r="I36" s="19">
        <v>0.9563</v>
      </c>
      <c r="J36" s="19" t="s">
        <v>202</v>
      </c>
      <c r="K36" s="19" t="s">
        <v>203</v>
      </c>
    </row>
    <row r="37">
      <c r="A37" s="19" t="s">
        <v>204</v>
      </c>
      <c r="B37" s="19">
        <v>0.9265</v>
      </c>
      <c r="C37" s="19">
        <v>0.9475</v>
      </c>
      <c r="D37" s="19">
        <v>0.8293</v>
      </c>
      <c r="E37" s="19">
        <v>0.9625</v>
      </c>
      <c r="F37" s="97">
        <v>0.7738</v>
      </c>
      <c r="G37" s="19">
        <v>0.9549</v>
      </c>
      <c r="H37" s="19">
        <v>0.8006</v>
      </c>
      <c r="I37" s="19">
        <v>0.9545</v>
      </c>
      <c r="J37" s="19" t="s">
        <v>205</v>
      </c>
    </row>
    <row r="38">
      <c r="A38" s="19" t="s">
        <v>206</v>
      </c>
      <c r="B38" s="19">
        <v>0.9234</v>
      </c>
      <c r="C38" s="19">
        <v>0.9379</v>
      </c>
      <c r="D38" s="19">
        <v>0.849</v>
      </c>
      <c r="E38" s="19">
        <v>0.849</v>
      </c>
      <c r="F38" s="97">
        <v>0.7277</v>
      </c>
      <c r="G38" s="19">
        <v>0.9534</v>
      </c>
      <c r="H38" s="19">
        <v>0.7837</v>
      </c>
      <c r="I38" s="19">
        <v>0.9344</v>
      </c>
      <c r="J38" s="19" t="s">
        <v>207</v>
      </c>
    </row>
    <row r="39">
      <c r="A39" s="19" t="s">
        <v>208</v>
      </c>
      <c r="B39" s="19">
        <v>0.9302</v>
      </c>
      <c r="C39" s="19">
        <v>0.9396</v>
      </c>
      <c r="D39" s="19">
        <v>0.8804</v>
      </c>
      <c r="E39" s="19">
        <v>0.9765</v>
      </c>
      <c r="F39" s="97">
        <v>0.7336</v>
      </c>
      <c r="G39" s="19">
        <v>0.9577</v>
      </c>
      <c r="H39" s="19">
        <v>0.8003</v>
      </c>
      <c r="I39" s="19">
        <v>0.9515</v>
      </c>
      <c r="J39" s="19" t="s">
        <v>209</v>
      </c>
    </row>
    <row r="41">
      <c r="A41" s="97" t="s">
        <v>210</v>
      </c>
    </row>
    <row r="42">
      <c r="A42" s="19" t="s">
        <v>211</v>
      </c>
      <c r="B42" s="98" t="s">
        <v>129</v>
      </c>
      <c r="C42" s="98" t="s">
        <v>130</v>
      </c>
      <c r="E42" s="98" t="s">
        <v>131</v>
      </c>
      <c r="G42" s="98" t="s">
        <v>132</v>
      </c>
      <c r="I42" s="98" t="s">
        <v>133</v>
      </c>
    </row>
    <row r="43">
      <c r="A43" s="19" t="s">
        <v>212</v>
      </c>
      <c r="B43" s="104">
        <v>0.9076</v>
      </c>
      <c r="C43" s="104">
        <v>0.9233</v>
      </c>
      <c r="D43" s="104">
        <v>0.8744</v>
      </c>
      <c r="E43" s="104">
        <v>0.9394</v>
      </c>
      <c r="F43" s="104">
        <v>0.8439</v>
      </c>
      <c r="G43" s="104">
        <v>0.9313</v>
      </c>
      <c r="H43" s="104">
        <v>0.8589</v>
      </c>
      <c r="I43" s="104">
        <v>0.9575</v>
      </c>
    </row>
    <row r="44">
      <c r="A44" s="19" t="s">
        <v>213</v>
      </c>
      <c r="B44" s="104">
        <v>0.8217</v>
      </c>
      <c r="C44" s="104">
        <v>0.8966</v>
      </c>
      <c r="D44" s="104">
        <v>0.7017</v>
      </c>
      <c r="E44" s="104">
        <v>0.828</v>
      </c>
      <c r="F44" s="104">
        <v>0.8091</v>
      </c>
      <c r="G44" s="104">
        <v>0.861</v>
      </c>
      <c r="H44" s="104">
        <v>0.7516</v>
      </c>
      <c r="I44" s="104">
        <v>0.8984</v>
      </c>
    </row>
    <row r="45">
      <c r="A45" s="19" t="s">
        <v>214</v>
      </c>
      <c r="B45" s="104">
        <v>0.9152</v>
      </c>
      <c r="C45" s="104">
        <v>0.9431</v>
      </c>
      <c r="D45" s="104">
        <v>0.8618</v>
      </c>
      <c r="E45" s="104">
        <v>0.9288</v>
      </c>
      <c r="F45" s="104">
        <v>0.8879</v>
      </c>
      <c r="G45" s="104">
        <v>0.9359</v>
      </c>
      <c r="H45" s="104">
        <v>0.8746</v>
      </c>
      <c r="I45" s="104">
        <v>0.9716</v>
      </c>
    </row>
    <row r="47">
      <c r="A47" s="19" t="s">
        <v>215</v>
      </c>
      <c r="B47" s="104">
        <v>0.9394</v>
      </c>
      <c r="C47" s="104">
        <v>0.951</v>
      </c>
      <c r="D47" s="104">
        <v>0.8967</v>
      </c>
      <c r="E47" s="104">
        <v>0.9712</v>
      </c>
      <c r="F47" s="104">
        <v>0.8333</v>
      </c>
      <c r="G47" s="104">
        <v>0.961</v>
      </c>
      <c r="H47" s="104">
        <v>0.8639</v>
      </c>
      <c r="I47" s="104">
        <v>0.9715</v>
      </c>
    </row>
    <row r="48">
      <c r="A48" s="19" t="s">
        <v>216</v>
      </c>
      <c r="B48" s="104">
        <v>0.8869</v>
      </c>
      <c r="C48" s="104">
        <v>0.954</v>
      </c>
      <c r="D48" s="104">
        <v>0.7122</v>
      </c>
      <c r="E48" s="104">
        <v>0.8962</v>
      </c>
      <c r="F48" s="104">
        <v>0.8561</v>
      </c>
      <c r="G48" s="104">
        <v>0.9242</v>
      </c>
      <c r="H48" s="104">
        <v>0.7775</v>
      </c>
      <c r="I48" s="104">
        <v>0.936</v>
      </c>
    </row>
    <row r="49">
      <c r="A49" s="19" t="s">
        <v>217</v>
      </c>
      <c r="B49" s="104">
        <v>0.9811</v>
      </c>
      <c r="C49" s="104">
        <v>0.9664</v>
      </c>
      <c r="D49" s="104">
        <v>0.931</v>
      </c>
      <c r="E49" s="104">
        <v>0.9803</v>
      </c>
      <c r="F49" s="104">
        <v>0.8864</v>
      </c>
      <c r="G49" s="104">
        <v>0.9733</v>
      </c>
      <c r="H49" s="104">
        <v>0.9082</v>
      </c>
      <c r="I49" s="104">
        <v>0.9811</v>
      </c>
    </row>
    <row r="51">
      <c r="A51" s="19" t="s">
        <v>218</v>
      </c>
      <c r="B51" s="104">
        <v>0.9745</v>
      </c>
      <c r="C51" s="104">
        <v>0.9842</v>
      </c>
      <c r="D51" s="104">
        <v>0.874</v>
      </c>
      <c r="E51" s="104">
        <v>0.9879</v>
      </c>
      <c r="F51" s="104">
        <v>0.8409</v>
      </c>
      <c r="G51" s="104">
        <v>0.986</v>
      </c>
      <c r="H51" s="104">
        <v>0.8571</v>
      </c>
      <c r="I51" s="104">
        <v>0.9917</v>
      </c>
    </row>
    <row r="52">
      <c r="A52" s="19" t="s">
        <v>219</v>
      </c>
      <c r="B52" s="104">
        <v>0.9118</v>
      </c>
      <c r="C52" s="104">
        <v>0.9869</v>
      </c>
      <c r="D52" s="104">
        <v>0.5088</v>
      </c>
      <c r="E52" s="104">
        <v>0.9152</v>
      </c>
      <c r="F52" s="104">
        <v>0.8788</v>
      </c>
      <c r="G52" s="104">
        <v>0.9497</v>
      </c>
      <c r="H52" s="104">
        <v>0.6444</v>
      </c>
      <c r="I52" s="104">
        <v>0.969</v>
      </c>
    </row>
    <row r="53">
      <c r="A53" s="19" t="s">
        <v>220</v>
      </c>
      <c r="B53" s="104">
        <v>0.9924</v>
      </c>
      <c r="C53" s="104">
        <v>0.994</v>
      </c>
      <c r="D53" s="104">
        <v>0.9764</v>
      </c>
      <c r="E53" s="104">
        <v>0.9977</v>
      </c>
      <c r="F53" s="104">
        <v>0.9394</v>
      </c>
      <c r="G53" s="104">
        <v>0.9958</v>
      </c>
      <c r="H53" s="104">
        <v>0.9575</v>
      </c>
      <c r="I53" s="104">
        <v>0.9992</v>
      </c>
    </row>
    <row r="55">
      <c r="A55" s="19" t="s">
        <v>221</v>
      </c>
      <c r="B55" s="98" t="s">
        <v>129</v>
      </c>
      <c r="C55" s="98" t="s">
        <v>130</v>
      </c>
      <c r="E55" s="98" t="s">
        <v>131</v>
      </c>
      <c r="G55" s="98" t="s">
        <v>132</v>
      </c>
      <c r="I55" s="98" t="s">
        <v>133</v>
      </c>
    </row>
    <row r="56">
      <c r="A56" s="19" t="s">
        <v>212</v>
      </c>
      <c r="B56" s="19">
        <v>0.9245</v>
      </c>
      <c r="C56" s="19">
        <v>0.9835</v>
      </c>
      <c r="D56" s="19">
        <v>0.7388</v>
      </c>
      <c r="E56" s="19">
        <v>0.9221</v>
      </c>
      <c r="F56" s="19">
        <v>0.9345</v>
      </c>
      <c r="G56" s="19">
        <v>0.9518</v>
      </c>
      <c r="H56" s="19">
        <v>0.8252</v>
      </c>
      <c r="I56" s="19">
        <v>0.9781</v>
      </c>
    </row>
    <row r="57">
      <c r="A57" s="19" t="s">
        <v>213</v>
      </c>
      <c r="B57" s="19">
        <v>0.7945</v>
      </c>
      <c r="C57" s="19">
        <v>0.9683</v>
      </c>
      <c r="D57" s="19">
        <v>0.4792</v>
      </c>
      <c r="E57" s="19">
        <v>0.7713</v>
      </c>
      <c r="F57" s="19">
        <v>0.8929</v>
      </c>
      <c r="G57" s="19">
        <v>0.8586</v>
      </c>
      <c r="H57" s="19">
        <v>0.6237</v>
      </c>
      <c r="I57" s="19">
        <v>0.9247</v>
      </c>
    </row>
    <row r="58">
      <c r="A58" s="19" t="s">
        <v>214</v>
      </c>
      <c r="B58" s="19">
        <v>0.9364</v>
      </c>
      <c r="C58" s="19">
        <v>0.987</v>
      </c>
      <c r="D58" s="19">
        <v>0.7712</v>
      </c>
      <c r="E58" s="19">
        <v>0.9337</v>
      </c>
      <c r="F58" s="19">
        <v>0.9479</v>
      </c>
      <c r="G58" s="19">
        <v>0.9596</v>
      </c>
      <c r="H58" s="19">
        <v>0.8505</v>
      </c>
      <c r="I58" s="19">
        <v>0.9814</v>
      </c>
    </row>
    <row r="60">
      <c r="A60" s="19" t="s">
        <v>215</v>
      </c>
      <c r="B60" s="19">
        <v>0.916</v>
      </c>
      <c r="C60" s="19">
        <v>0.9218</v>
      </c>
      <c r="D60" s="19">
        <v>0.8806</v>
      </c>
      <c r="E60" s="19">
        <v>0.9793</v>
      </c>
      <c r="F60" s="19">
        <v>0.6473</v>
      </c>
      <c r="G60" s="19">
        <v>0.9497</v>
      </c>
      <c r="H60" s="19">
        <v>0.7461</v>
      </c>
      <c r="I60" s="19">
        <v>0.9204</v>
      </c>
    </row>
    <row r="61">
      <c r="A61" s="19" t="s">
        <v>216</v>
      </c>
      <c r="B61" s="19">
        <v>0.8166</v>
      </c>
      <c r="C61" s="19">
        <v>0.8886</v>
      </c>
      <c r="D61" s="19">
        <v>0.519</v>
      </c>
      <c r="E61" s="19">
        <v>0.8843</v>
      </c>
      <c r="F61" s="19">
        <v>0.5298</v>
      </c>
      <c r="G61" s="19">
        <v>0.8864</v>
      </c>
      <c r="H61" s="19">
        <v>0.5243</v>
      </c>
      <c r="I61" s="19">
        <v>0.7954</v>
      </c>
    </row>
    <row r="62">
      <c r="A62" s="19" t="s">
        <v>217</v>
      </c>
      <c r="B62" s="19">
        <v>0.9256</v>
      </c>
      <c r="C62" s="19">
        <v>0.9417</v>
      </c>
      <c r="D62" s="19">
        <v>0.8463</v>
      </c>
      <c r="E62" s="19">
        <v>0.9681</v>
      </c>
      <c r="F62" s="19">
        <v>0.7455</v>
      </c>
      <c r="G62" s="19">
        <v>0.9547</v>
      </c>
      <c r="H62" s="19">
        <v>0.7927</v>
      </c>
      <c r="I62" s="19">
        <v>0.9416</v>
      </c>
    </row>
    <row r="64">
      <c r="A64" s="19" t="s">
        <v>218</v>
      </c>
      <c r="B64" s="19">
        <v>0.8904</v>
      </c>
      <c r="C64" s="19">
        <v>0.8858</v>
      </c>
      <c r="D64" s="19">
        <v>0.936</v>
      </c>
      <c r="E64" s="19">
        <v>0.9926</v>
      </c>
      <c r="F64" s="19">
        <v>0.4568</v>
      </c>
      <c r="G64" s="19">
        <v>0.9362</v>
      </c>
      <c r="H64" s="19">
        <v>0.614</v>
      </c>
      <c r="I64" s="19">
        <v>0.776</v>
      </c>
    </row>
    <row r="65">
      <c r="A65" s="19" t="s">
        <v>219</v>
      </c>
      <c r="B65" s="19">
        <v>0.8104</v>
      </c>
      <c r="C65" s="19">
        <v>0.8755</v>
      </c>
      <c r="D65" s="19">
        <v>0.5032</v>
      </c>
      <c r="E65" s="19">
        <v>0.8927</v>
      </c>
      <c r="F65" s="19">
        <v>0.4613</v>
      </c>
      <c r="G65" s="19">
        <v>0.884</v>
      </c>
      <c r="H65" s="19">
        <v>0.4814</v>
      </c>
      <c r="I65" s="19">
        <v>0.7104</v>
      </c>
    </row>
    <row r="66">
      <c r="A66" s="19" t="s">
        <v>220</v>
      </c>
      <c r="B66" s="19">
        <v>0.8907</v>
      </c>
      <c r="C66" s="19">
        <v>0.8822</v>
      </c>
      <c r="D66" s="19">
        <v>0.9832</v>
      </c>
      <c r="E66" s="19">
        <v>0.9982</v>
      </c>
      <c r="F66" s="19">
        <v>0.4345</v>
      </c>
      <c r="G66" s="19">
        <v>0.9366</v>
      </c>
      <c r="H66" s="19">
        <v>0.6027</v>
      </c>
      <c r="I66" s="19">
        <v>0.7294</v>
      </c>
    </row>
    <row r="68">
      <c r="A68" s="74" t="s">
        <v>222</v>
      </c>
      <c r="B68" s="105" t="s">
        <v>223</v>
      </c>
      <c r="C68" s="106" t="s">
        <v>224</v>
      </c>
      <c r="D68" s="62"/>
    </row>
    <row r="69">
      <c r="A69" s="107" t="s">
        <v>135</v>
      </c>
      <c r="B69" s="108" t="s">
        <v>225</v>
      </c>
      <c r="C69" s="109" t="s">
        <v>226</v>
      </c>
      <c r="D69" s="62"/>
    </row>
    <row r="70">
      <c r="A70" s="72"/>
      <c r="B70" s="108" t="s">
        <v>225</v>
      </c>
      <c r="C70" s="109" t="s">
        <v>227</v>
      </c>
      <c r="D70" s="62"/>
    </row>
    <row r="71">
      <c r="A71" s="64"/>
      <c r="B71" s="108" t="s">
        <v>228</v>
      </c>
      <c r="C71" s="109" t="s">
        <v>229</v>
      </c>
      <c r="D71" s="62"/>
    </row>
    <row r="72">
      <c r="A72" s="107" t="s">
        <v>136</v>
      </c>
      <c r="B72" s="110" t="s">
        <v>225</v>
      </c>
      <c r="C72" s="111" t="s">
        <v>230</v>
      </c>
      <c r="D72" s="62"/>
    </row>
    <row r="73">
      <c r="A73" s="72"/>
      <c r="B73" s="110" t="s">
        <v>231</v>
      </c>
      <c r="C73" s="111" t="s">
        <v>232</v>
      </c>
      <c r="D73" s="62"/>
    </row>
    <row r="74">
      <c r="A74" s="64"/>
      <c r="B74" s="110" t="s">
        <v>233</v>
      </c>
      <c r="C74" s="111" t="s">
        <v>234</v>
      </c>
      <c r="D74" s="62"/>
    </row>
    <row r="75">
      <c r="A75" s="107" t="s">
        <v>137</v>
      </c>
      <c r="B75" s="110" t="s">
        <v>235</v>
      </c>
      <c r="C75" s="110" t="s">
        <v>236</v>
      </c>
      <c r="D75" s="110" t="s">
        <v>237</v>
      </c>
    </row>
    <row r="76">
      <c r="A76" s="72"/>
      <c r="B76" s="110" t="s">
        <v>238</v>
      </c>
      <c r="C76" s="110" t="s">
        <v>239</v>
      </c>
      <c r="D76" s="110" t="s">
        <v>240</v>
      </c>
    </row>
    <row r="77">
      <c r="A77" s="64"/>
      <c r="B77" s="110" t="s">
        <v>241</v>
      </c>
      <c r="C77" s="110" t="s">
        <v>242</v>
      </c>
      <c r="D77" s="110" t="s">
        <v>243</v>
      </c>
    </row>
    <row r="78">
      <c r="A78" s="107" t="s">
        <v>138</v>
      </c>
      <c r="B78" s="110" t="s">
        <v>244</v>
      </c>
      <c r="C78" s="110" t="s">
        <v>245</v>
      </c>
      <c r="D78" s="110" t="s">
        <v>246</v>
      </c>
    </row>
    <row r="79">
      <c r="A79" s="72"/>
      <c r="B79" s="110" t="s">
        <v>247</v>
      </c>
      <c r="C79" s="110" t="s">
        <v>248</v>
      </c>
      <c r="D79" s="110" t="s">
        <v>249</v>
      </c>
    </row>
    <row r="80">
      <c r="A80" s="64"/>
      <c r="B80" s="110" t="s">
        <v>250</v>
      </c>
      <c r="C80" s="110" t="s">
        <v>251</v>
      </c>
      <c r="D80" s="110" t="s">
        <v>252</v>
      </c>
    </row>
    <row r="81">
      <c r="A81" s="107" t="s">
        <v>139</v>
      </c>
      <c r="B81" s="110" t="s">
        <v>253</v>
      </c>
      <c r="C81" s="110" t="s">
        <v>254</v>
      </c>
      <c r="D81" s="112"/>
    </row>
    <row r="82">
      <c r="A82" s="72"/>
      <c r="B82" s="110" t="s">
        <v>255</v>
      </c>
      <c r="C82" s="110" t="s">
        <v>256</v>
      </c>
      <c r="D82" s="112"/>
    </row>
    <row r="83">
      <c r="A83" s="64"/>
      <c r="B83" s="110" t="s">
        <v>235</v>
      </c>
      <c r="C83" s="110" t="s">
        <v>257</v>
      </c>
      <c r="D83" s="112"/>
    </row>
  </sheetData>
  <mergeCells count="30">
    <mergeCell ref="E16:F16"/>
    <mergeCell ref="G16:H16"/>
    <mergeCell ref="C2:D2"/>
    <mergeCell ref="E2:F2"/>
    <mergeCell ref="G2:H2"/>
    <mergeCell ref="C11:D11"/>
    <mergeCell ref="E11:F11"/>
    <mergeCell ref="G11:H11"/>
    <mergeCell ref="C16:D16"/>
    <mergeCell ref="E55:F55"/>
    <mergeCell ref="G55:H55"/>
    <mergeCell ref="C25:D25"/>
    <mergeCell ref="E25:F25"/>
    <mergeCell ref="G25:H25"/>
    <mergeCell ref="C42:D42"/>
    <mergeCell ref="E42:F42"/>
    <mergeCell ref="G42:H42"/>
    <mergeCell ref="C55:D55"/>
    <mergeCell ref="C73:D73"/>
    <mergeCell ref="C74:D74"/>
    <mergeCell ref="A75:A77"/>
    <mergeCell ref="A78:A80"/>
    <mergeCell ref="A81:A83"/>
    <mergeCell ref="C68:D68"/>
    <mergeCell ref="A69:A71"/>
    <mergeCell ref="C69:D69"/>
    <mergeCell ref="C70:D70"/>
    <mergeCell ref="C71:D71"/>
    <mergeCell ref="A72:A74"/>
    <mergeCell ref="C72:D72"/>
  </mergeCells>
  <hyperlinks>
    <hyperlink r:id="rId1" ref="J3"/>
    <hyperlink r:id="rId2" ref="A7"/>
    <hyperlink r:id="rId3" ref="G7"/>
    <hyperlink r:id="rId4" ref="A8"/>
    <hyperlink r:id="rId5" ref="A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1.0"/>
    <col customWidth="1" min="14" max="14" width="22.5"/>
  </cols>
  <sheetData>
    <row r="2">
      <c r="B2" s="58" t="s">
        <v>126</v>
      </c>
      <c r="C2" s="113" t="s">
        <v>127</v>
      </c>
      <c r="D2" s="58" t="s">
        <v>129</v>
      </c>
      <c r="E2" s="114" t="s">
        <v>130</v>
      </c>
      <c r="F2" s="62"/>
      <c r="G2" s="114" t="s">
        <v>131</v>
      </c>
      <c r="H2" s="62"/>
      <c r="I2" s="114" t="s">
        <v>132</v>
      </c>
      <c r="J2" s="62"/>
      <c r="K2" s="58" t="s">
        <v>133</v>
      </c>
    </row>
    <row r="3">
      <c r="B3" s="64"/>
      <c r="C3" s="64"/>
      <c r="D3" s="64"/>
      <c r="E3" s="115">
        <v>0.0</v>
      </c>
      <c r="F3" s="115">
        <v>1.0</v>
      </c>
      <c r="G3" s="115">
        <v>0.0</v>
      </c>
      <c r="H3" s="115">
        <v>1.0</v>
      </c>
      <c r="I3" s="115">
        <v>0.0</v>
      </c>
      <c r="J3" s="115">
        <v>1.0</v>
      </c>
      <c r="K3" s="64"/>
    </row>
    <row r="4">
      <c r="A4" s="116"/>
      <c r="B4" s="58" t="s">
        <v>35</v>
      </c>
      <c r="C4" s="117" t="s">
        <v>134</v>
      </c>
      <c r="D4" s="74">
        <v>0.8904</v>
      </c>
      <c r="E4" s="74">
        <v>0.8858</v>
      </c>
      <c r="F4" s="74">
        <v>0.936</v>
      </c>
      <c r="G4" s="74">
        <v>0.9926</v>
      </c>
      <c r="H4" s="74">
        <v>0.4568</v>
      </c>
      <c r="I4" s="74">
        <v>0.9362</v>
      </c>
      <c r="J4" s="74">
        <v>0.614</v>
      </c>
      <c r="K4" s="74">
        <v>0.776</v>
      </c>
    </row>
    <row r="5">
      <c r="A5" s="116"/>
      <c r="B5" s="72"/>
      <c r="C5" s="117" t="s">
        <v>135</v>
      </c>
      <c r="D5" s="74">
        <v>0.8867</v>
      </c>
      <c r="E5" s="74">
        <v>0.8822</v>
      </c>
      <c r="F5" s="74">
        <v>0.9333</v>
      </c>
      <c r="G5" s="74">
        <v>0.9926</v>
      </c>
      <c r="H5" s="74">
        <v>0.4375</v>
      </c>
      <c r="I5" s="74">
        <v>0.9341</v>
      </c>
      <c r="J5" s="74">
        <v>0.5957</v>
      </c>
      <c r="K5" s="74">
        <v>0.7665</v>
      </c>
    </row>
    <row r="6">
      <c r="A6" s="116"/>
      <c r="B6" s="72"/>
      <c r="C6" s="117" t="s">
        <v>136</v>
      </c>
      <c r="D6" s="74">
        <v>0.889</v>
      </c>
      <c r="E6" s="74">
        <v>0.8851</v>
      </c>
      <c r="F6" s="74">
        <v>0.9271</v>
      </c>
      <c r="G6" s="74">
        <v>0.9916</v>
      </c>
      <c r="H6" s="74">
        <v>0.4539</v>
      </c>
      <c r="I6" s="74">
        <v>0.9353</v>
      </c>
      <c r="J6" s="74">
        <v>0.6094</v>
      </c>
      <c r="K6" s="74">
        <v>0.7573</v>
      </c>
    </row>
    <row r="7">
      <c r="A7" s="116"/>
      <c r="B7" s="72"/>
      <c r="C7" s="117" t="s">
        <v>137</v>
      </c>
      <c r="D7" s="74">
        <v>0.8902</v>
      </c>
      <c r="E7" s="74">
        <v>0.8921</v>
      </c>
      <c r="F7" s="74">
        <v>0.874</v>
      </c>
      <c r="G7" s="74">
        <v>0.9832</v>
      </c>
      <c r="H7" s="74">
        <v>0.4955</v>
      </c>
      <c r="I7" s="74">
        <v>0.9354</v>
      </c>
      <c r="J7" s="74">
        <v>0.6325</v>
      </c>
      <c r="K7" s="74">
        <v>0.7488</v>
      </c>
    </row>
    <row r="8">
      <c r="B8" s="72"/>
      <c r="C8" s="117" t="s">
        <v>138</v>
      </c>
      <c r="D8" s="74">
        <v>0.8879</v>
      </c>
      <c r="E8" s="74">
        <v>0.8874</v>
      </c>
      <c r="F8" s="74">
        <v>0.8924</v>
      </c>
      <c r="G8" s="74">
        <v>0.9867</v>
      </c>
      <c r="H8" s="74">
        <v>0.4688</v>
      </c>
      <c r="I8" s="74">
        <v>0.9344</v>
      </c>
      <c r="J8" s="74">
        <v>0.6146</v>
      </c>
      <c r="K8" s="74">
        <v>0.7551</v>
      </c>
    </row>
    <row r="9">
      <c r="B9" s="72"/>
      <c r="C9" s="117" t="s">
        <v>139</v>
      </c>
      <c r="D9" s="74">
        <v>0.891</v>
      </c>
      <c r="E9" s="74">
        <v>0.8922</v>
      </c>
      <c r="F9" s="74">
        <v>0.881</v>
      </c>
      <c r="G9" s="74">
        <v>0.9842</v>
      </c>
      <c r="H9" s="74">
        <v>0.4955</v>
      </c>
      <c r="I9" s="74">
        <v>0.936</v>
      </c>
      <c r="J9" s="74">
        <v>0.6343</v>
      </c>
      <c r="K9" s="74">
        <v>0.7474</v>
      </c>
    </row>
    <row r="10">
      <c r="B10" s="72"/>
      <c r="C10" s="115" t="s">
        <v>258</v>
      </c>
      <c r="D10" s="118">
        <f t="shared" ref="D10:K10" si="1">AVERAGE(D5:D9)</f>
        <v>0.88896</v>
      </c>
      <c r="E10" s="118">
        <f t="shared" si="1"/>
        <v>0.8878</v>
      </c>
      <c r="F10" s="118">
        <f t="shared" si="1"/>
        <v>0.90156</v>
      </c>
      <c r="G10" s="118">
        <f t="shared" si="1"/>
        <v>0.98766</v>
      </c>
      <c r="H10" s="118">
        <f t="shared" si="1"/>
        <v>0.47024</v>
      </c>
      <c r="I10" s="118">
        <f t="shared" si="1"/>
        <v>0.93504</v>
      </c>
      <c r="J10" s="118">
        <f t="shared" si="1"/>
        <v>0.6173</v>
      </c>
      <c r="K10" s="118">
        <f t="shared" si="1"/>
        <v>0.75502</v>
      </c>
    </row>
    <row r="11">
      <c r="B11" s="58" t="s">
        <v>86</v>
      </c>
      <c r="C11" s="117" t="s">
        <v>134</v>
      </c>
      <c r="D11" s="74">
        <v>0.8104</v>
      </c>
      <c r="E11" s="74">
        <v>0.8755</v>
      </c>
      <c r="F11" s="74">
        <v>0.5032</v>
      </c>
      <c r="G11" s="74">
        <v>0.8927</v>
      </c>
      <c r="H11" s="74">
        <v>0.4613</v>
      </c>
      <c r="I11" s="74">
        <v>0.884</v>
      </c>
      <c r="J11" s="74">
        <v>0.4814</v>
      </c>
      <c r="K11" s="74">
        <v>0.7104</v>
      </c>
    </row>
    <row r="12">
      <c r="B12" s="72"/>
      <c r="C12" s="117" t="s">
        <v>135</v>
      </c>
      <c r="D12" s="74">
        <v>0.7922</v>
      </c>
      <c r="E12" s="74">
        <v>0.8882</v>
      </c>
      <c r="F12" s="74">
        <v>0.4622</v>
      </c>
      <c r="G12" s="74">
        <v>0.8502</v>
      </c>
      <c r="H12" s="74">
        <v>0.5461</v>
      </c>
      <c r="I12" s="74">
        <v>0.8688</v>
      </c>
      <c r="J12" s="74">
        <v>0.5007</v>
      </c>
      <c r="K12" s="74">
        <v>0.7583</v>
      </c>
    </row>
    <row r="13">
      <c r="B13" s="72"/>
      <c r="C13" s="117" t="s">
        <v>136</v>
      </c>
      <c r="D13" s="74">
        <v>0.8657</v>
      </c>
      <c r="E13" s="74">
        <v>0.8767</v>
      </c>
      <c r="F13" s="74">
        <v>0.7711</v>
      </c>
      <c r="G13" s="74">
        <v>0.9705</v>
      </c>
      <c r="H13" s="74">
        <v>0.4211</v>
      </c>
      <c r="I13" s="74">
        <v>0.9213</v>
      </c>
      <c r="J13" s="74">
        <v>0.5448</v>
      </c>
      <c r="K13" s="74">
        <v>0.765</v>
      </c>
    </row>
    <row r="14">
      <c r="B14" s="72"/>
      <c r="C14" s="117" t="s">
        <v>137</v>
      </c>
      <c r="D14" s="74">
        <v>0.8169</v>
      </c>
      <c r="E14" s="74">
        <v>0.8889</v>
      </c>
      <c r="F14" s="74">
        <v>0.5197</v>
      </c>
      <c r="G14" s="74">
        <v>0.8843</v>
      </c>
      <c r="H14" s="74">
        <v>0.5312</v>
      </c>
      <c r="I14" s="74">
        <v>0.8866</v>
      </c>
      <c r="J14" s="74">
        <v>0.5254</v>
      </c>
      <c r="K14" s="74">
        <v>0.7417</v>
      </c>
    </row>
    <row r="15">
      <c r="B15" s="72"/>
      <c r="C15" s="117" t="s">
        <v>138</v>
      </c>
      <c r="D15" s="74">
        <v>0.7695</v>
      </c>
      <c r="E15" s="74">
        <v>0.8863</v>
      </c>
      <c r="F15" s="74">
        <v>0.4208</v>
      </c>
      <c r="G15" s="74">
        <v>0.8204</v>
      </c>
      <c r="H15" s="74">
        <v>0.5536</v>
      </c>
      <c r="I15" s="74">
        <v>0.8521</v>
      </c>
      <c r="J15" s="74">
        <v>0.4781</v>
      </c>
      <c r="K15" s="74">
        <v>0.7555</v>
      </c>
    </row>
    <row r="16">
      <c r="B16" s="72"/>
      <c r="C16" s="117" t="s">
        <v>139</v>
      </c>
      <c r="D16" s="74">
        <v>0.7956</v>
      </c>
      <c r="E16" s="74">
        <v>0.8865</v>
      </c>
      <c r="F16" s="74">
        <v>0.4687</v>
      </c>
      <c r="G16" s="74">
        <v>0.8572</v>
      </c>
      <c r="H16" s="74">
        <v>0.5342</v>
      </c>
      <c r="I16" s="74">
        <v>0.8716</v>
      </c>
      <c r="J16" s="74">
        <v>0.4993</v>
      </c>
      <c r="K16" s="74">
        <v>0.7237</v>
      </c>
    </row>
    <row r="17">
      <c r="B17" s="72"/>
      <c r="C17" s="115" t="s">
        <v>258</v>
      </c>
      <c r="D17" s="118">
        <f t="shared" ref="D17:K17" si="2">AVERAGE(D12:D16)</f>
        <v>0.80798</v>
      </c>
      <c r="E17" s="118">
        <f t="shared" si="2"/>
        <v>0.88532</v>
      </c>
      <c r="F17" s="118">
        <f t="shared" si="2"/>
        <v>0.5285</v>
      </c>
      <c r="G17" s="118">
        <f t="shared" si="2"/>
        <v>0.87652</v>
      </c>
      <c r="H17" s="118">
        <f t="shared" si="2"/>
        <v>0.51724</v>
      </c>
      <c r="I17" s="118">
        <f t="shared" si="2"/>
        <v>0.88008</v>
      </c>
      <c r="J17" s="118">
        <f t="shared" si="2"/>
        <v>0.50966</v>
      </c>
      <c r="K17" s="118">
        <f t="shared" si="2"/>
        <v>0.74884</v>
      </c>
    </row>
    <row r="18">
      <c r="B18" s="58" t="s">
        <v>140</v>
      </c>
      <c r="C18" s="117" t="s">
        <v>134</v>
      </c>
      <c r="D18" s="74">
        <v>0.8907</v>
      </c>
      <c r="E18" s="74">
        <v>0.8822</v>
      </c>
      <c r="F18" s="74">
        <v>0.9832</v>
      </c>
      <c r="G18" s="74">
        <v>0.9982</v>
      </c>
      <c r="H18" s="74">
        <v>0.4345</v>
      </c>
      <c r="I18" s="74">
        <v>0.9366</v>
      </c>
      <c r="J18" s="74">
        <v>0.6027</v>
      </c>
      <c r="K18" s="74">
        <v>0.7294</v>
      </c>
    </row>
    <row r="19">
      <c r="B19" s="72"/>
      <c r="C19" s="117" t="s">
        <v>135</v>
      </c>
      <c r="D19" s="74">
        <v>0.8884</v>
      </c>
      <c r="E19" s="74">
        <v>0.8919</v>
      </c>
      <c r="F19" s="74">
        <v>0.8605</v>
      </c>
      <c r="G19" s="74">
        <v>0.9811</v>
      </c>
      <c r="H19" s="74">
        <v>0.4955</v>
      </c>
      <c r="I19" s="74">
        <v>0.9344</v>
      </c>
      <c r="J19" s="74">
        <v>0.6289</v>
      </c>
      <c r="K19" s="74">
        <v>0.8081</v>
      </c>
    </row>
    <row r="20">
      <c r="B20" s="72"/>
      <c r="C20" s="117" t="s">
        <v>136</v>
      </c>
      <c r="D20" s="74">
        <v>0.8916</v>
      </c>
      <c r="E20" s="74">
        <v>0.8915</v>
      </c>
      <c r="F20" s="74">
        <v>0.8919</v>
      </c>
      <c r="G20" s="74">
        <v>0.986</v>
      </c>
      <c r="H20" s="74">
        <v>0.4911</v>
      </c>
      <c r="I20" s="74">
        <v>0.9364</v>
      </c>
      <c r="J20" s="74">
        <v>0.6334</v>
      </c>
      <c r="K20" s="74">
        <v>0.8022</v>
      </c>
    </row>
    <row r="21">
      <c r="B21" s="72"/>
      <c r="C21" s="117" t="s">
        <v>137</v>
      </c>
      <c r="D21" s="74">
        <v>0.893</v>
      </c>
      <c r="E21" s="74">
        <v>0.8875</v>
      </c>
      <c r="F21" s="74">
        <v>0.9456</v>
      </c>
      <c r="G21" s="74">
        <v>0.9937</v>
      </c>
      <c r="H21" s="74">
        <v>0.4658</v>
      </c>
      <c r="I21" s="74">
        <v>0.9376</v>
      </c>
      <c r="J21" s="74">
        <v>0.6241</v>
      </c>
      <c r="K21" s="74">
        <v>0.6697</v>
      </c>
    </row>
    <row r="22">
      <c r="B22" s="72"/>
      <c r="C22" s="117" t="s">
        <v>138</v>
      </c>
      <c r="D22" s="74">
        <v>0.8919</v>
      </c>
      <c r="E22" s="74">
        <v>0.8857</v>
      </c>
      <c r="F22" s="74">
        <v>0.9533</v>
      </c>
      <c r="G22" s="74">
        <v>0.9947</v>
      </c>
      <c r="H22" s="74">
        <v>0.4554</v>
      </c>
      <c r="I22" s="74">
        <v>0.9371</v>
      </c>
      <c r="J22" s="74">
        <v>0.6163</v>
      </c>
      <c r="K22" s="74">
        <v>0.8919</v>
      </c>
    </row>
    <row r="23">
      <c r="B23" s="72"/>
      <c r="C23" s="117" t="s">
        <v>139</v>
      </c>
      <c r="D23" s="74">
        <v>0.8944</v>
      </c>
      <c r="E23" s="74">
        <v>0.8961</v>
      </c>
      <c r="F23" s="74">
        <v>0.8807</v>
      </c>
      <c r="G23" s="74">
        <v>0.9835</v>
      </c>
      <c r="H23" s="74">
        <v>0.5164</v>
      </c>
      <c r="I23" s="74">
        <v>0.9378</v>
      </c>
      <c r="J23" s="74">
        <v>0.651</v>
      </c>
      <c r="K23" s="74">
        <v>0.8342</v>
      </c>
    </row>
    <row r="24">
      <c r="B24" s="64"/>
      <c r="C24" s="115" t="s">
        <v>258</v>
      </c>
      <c r="D24" s="118">
        <f t="shared" ref="D24:K24" si="3">AVERAGE(D19:D23)</f>
        <v>0.89186</v>
      </c>
      <c r="E24" s="118">
        <f t="shared" si="3"/>
        <v>0.89054</v>
      </c>
      <c r="F24" s="118">
        <f t="shared" si="3"/>
        <v>0.9064</v>
      </c>
      <c r="G24" s="118">
        <f t="shared" si="3"/>
        <v>0.9878</v>
      </c>
      <c r="H24" s="118">
        <f t="shared" si="3"/>
        <v>0.48484</v>
      </c>
      <c r="I24" s="118">
        <f t="shared" si="3"/>
        <v>0.93666</v>
      </c>
      <c r="J24" s="118">
        <f t="shared" si="3"/>
        <v>0.63074</v>
      </c>
      <c r="K24" s="118">
        <f t="shared" si="3"/>
        <v>0.80122</v>
      </c>
    </row>
    <row r="25">
      <c r="B25" s="114" t="s">
        <v>258</v>
      </c>
      <c r="C25" s="62"/>
      <c r="D25" s="119">
        <f t="shared" ref="D25:K25" si="4">AVERAGE(D10,D17,D24)</f>
        <v>0.8629333333</v>
      </c>
      <c r="E25" s="119">
        <f t="shared" si="4"/>
        <v>0.8878866667</v>
      </c>
      <c r="F25" s="119">
        <f t="shared" si="4"/>
        <v>0.77882</v>
      </c>
      <c r="G25" s="119">
        <f t="shared" si="4"/>
        <v>0.95066</v>
      </c>
      <c r="H25" s="119">
        <f t="shared" si="4"/>
        <v>0.4907733333</v>
      </c>
      <c r="I25" s="119">
        <f t="shared" si="4"/>
        <v>0.91726</v>
      </c>
      <c r="J25" s="119">
        <f t="shared" si="4"/>
        <v>0.5859</v>
      </c>
      <c r="K25" s="119">
        <f t="shared" si="4"/>
        <v>0.76836</v>
      </c>
    </row>
    <row r="27">
      <c r="B27" s="58" t="s">
        <v>126</v>
      </c>
      <c r="C27" s="113" t="s">
        <v>127</v>
      </c>
      <c r="D27" s="58" t="s">
        <v>129</v>
      </c>
      <c r="E27" s="58" t="s">
        <v>143</v>
      </c>
      <c r="F27" s="58" t="s">
        <v>144</v>
      </c>
      <c r="G27" s="58" t="s">
        <v>145</v>
      </c>
      <c r="H27" s="58" t="s">
        <v>146</v>
      </c>
      <c r="I27" s="58" t="s">
        <v>147</v>
      </c>
      <c r="J27" s="58" t="s">
        <v>148</v>
      </c>
      <c r="K27" s="58" t="s">
        <v>133</v>
      </c>
    </row>
    <row r="28">
      <c r="B28" s="64"/>
      <c r="C28" s="64"/>
      <c r="D28" s="64"/>
      <c r="E28" s="64"/>
      <c r="F28" s="64"/>
      <c r="G28" s="64"/>
      <c r="H28" s="64"/>
      <c r="I28" s="64"/>
      <c r="J28" s="64"/>
      <c r="K28" s="64"/>
    </row>
    <row r="29">
      <c r="B29" s="58" t="s">
        <v>35</v>
      </c>
      <c r="C29" s="117" t="s">
        <v>134</v>
      </c>
      <c r="D29" s="74">
        <v>0.8904</v>
      </c>
      <c r="E29" s="74">
        <v>0.8858</v>
      </c>
      <c r="F29" s="74">
        <v>0.936</v>
      </c>
      <c r="G29" s="74">
        <v>0.9926</v>
      </c>
      <c r="H29" s="74">
        <v>0.4568</v>
      </c>
      <c r="I29" s="74">
        <v>0.9362</v>
      </c>
      <c r="J29" s="74">
        <v>0.614</v>
      </c>
      <c r="K29" s="74">
        <v>0.776</v>
      </c>
    </row>
    <row r="30">
      <c r="B30" s="72"/>
      <c r="C30" s="117" t="s">
        <v>135</v>
      </c>
      <c r="D30" s="74">
        <v>0.8867</v>
      </c>
      <c r="E30" s="74">
        <v>0.8822</v>
      </c>
      <c r="F30" s="74">
        <v>0.9333</v>
      </c>
      <c r="G30" s="74">
        <v>0.9926</v>
      </c>
      <c r="H30" s="74">
        <v>0.4375</v>
      </c>
      <c r="I30" s="74">
        <v>0.9341</v>
      </c>
      <c r="J30" s="74">
        <v>0.5957</v>
      </c>
      <c r="K30" s="74">
        <v>0.7665</v>
      </c>
    </row>
    <row r="31">
      <c r="B31" s="72"/>
      <c r="C31" s="117" t="s">
        <v>136</v>
      </c>
      <c r="D31" s="74">
        <v>0.889</v>
      </c>
      <c r="E31" s="74">
        <v>0.8851</v>
      </c>
      <c r="F31" s="74">
        <v>0.9271</v>
      </c>
      <c r="G31" s="74">
        <v>0.9916</v>
      </c>
      <c r="H31" s="74">
        <v>0.4539</v>
      </c>
      <c r="I31" s="74">
        <v>0.9353</v>
      </c>
      <c r="J31" s="74">
        <v>0.6094</v>
      </c>
      <c r="K31" s="74">
        <v>0.7573</v>
      </c>
    </row>
    <row r="32">
      <c r="B32" s="72"/>
      <c r="C32" s="117" t="s">
        <v>137</v>
      </c>
      <c r="D32" s="74">
        <v>0.8902</v>
      </c>
      <c r="E32" s="74">
        <v>0.8921</v>
      </c>
      <c r="F32" s="74">
        <v>0.874</v>
      </c>
      <c r="G32" s="74">
        <v>0.9832</v>
      </c>
      <c r="H32" s="74">
        <v>0.4955</v>
      </c>
      <c r="I32" s="74">
        <v>0.9354</v>
      </c>
      <c r="J32" s="74">
        <v>0.6325</v>
      </c>
      <c r="K32" s="74">
        <v>0.7488</v>
      </c>
    </row>
    <row r="33">
      <c r="B33" s="72"/>
      <c r="C33" s="117" t="s">
        <v>138</v>
      </c>
      <c r="D33" s="74">
        <v>0.8879</v>
      </c>
      <c r="E33" s="74">
        <v>0.8874</v>
      </c>
      <c r="F33" s="74">
        <v>0.8924</v>
      </c>
      <c r="G33" s="74">
        <v>0.9867</v>
      </c>
      <c r="H33" s="74">
        <v>0.4688</v>
      </c>
      <c r="I33" s="74">
        <v>0.9344</v>
      </c>
      <c r="J33" s="74">
        <v>0.6146</v>
      </c>
      <c r="K33" s="74">
        <v>0.7551</v>
      </c>
    </row>
    <row r="34">
      <c r="B34" s="72"/>
      <c r="C34" s="117" t="s">
        <v>139</v>
      </c>
      <c r="D34" s="74">
        <v>0.891</v>
      </c>
      <c r="E34" s="74">
        <v>0.8922</v>
      </c>
      <c r="F34" s="74">
        <v>0.881</v>
      </c>
      <c r="G34" s="74">
        <v>0.9842</v>
      </c>
      <c r="H34" s="74">
        <v>0.4955</v>
      </c>
      <c r="I34" s="74">
        <v>0.936</v>
      </c>
      <c r="J34" s="74">
        <v>0.6343</v>
      </c>
      <c r="K34" s="74">
        <v>0.7474</v>
      </c>
    </row>
    <row r="35">
      <c r="B35" s="72"/>
      <c r="C35" s="115" t="s">
        <v>258</v>
      </c>
      <c r="D35" s="118">
        <f t="shared" ref="D35:K35" si="5">AVERAGE(D30:D34)</f>
        <v>0.88896</v>
      </c>
      <c r="E35" s="118">
        <f t="shared" si="5"/>
        <v>0.8878</v>
      </c>
      <c r="F35" s="118">
        <f t="shared" si="5"/>
        <v>0.90156</v>
      </c>
      <c r="G35" s="118">
        <f t="shared" si="5"/>
        <v>0.98766</v>
      </c>
      <c r="H35" s="118">
        <f t="shared" si="5"/>
        <v>0.47024</v>
      </c>
      <c r="I35" s="118">
        <f t="shared" si="5"/>
        <v>0.93504</v>
      </c>
      <c r="J35" s="118">
        <f t="shared" si="5"/>
        <v>0.6173</v>
      </c>
      <c r="K35" s="118">
        <f t="shared" si="5"/>
        <v>0.75502</v>
      </c>
    </row>
    <row r="36">
      <c r="B36" s="58" t="s">
        <v>86</v>
      </c>
      <c r="C36" s="117" t="s">
        <v>134</v>
      </c>
      <c r="D36" s="74">
        <v>0.8104</v>
      </c>
      <c r="E36" s="74">
        <v>0.8755</v>
      </c>
      <c r="F36" s="74">
        <v>0.5032</v>
      </c>
      <c r="G36" s="74">
        <v>0.8927</v>
      </c>
      <c r="H36" s="74">
        <v>0.4613</v>
      </c>
      <c r="I36" s="74">
        <v>0.884</v>
      </c>
      <c r="J36" s="74">
        <v>0.4814</v>
      </c>
      <c r="K36" s="74">
        <v>0.7104</v>
      </c>
    </row>
    <row r="37">
      <c r="B37" s="72"/>
      <c r="C37" s="117" t="s">
        <v>135</v>
      </c>
      <c r="D37" s="74">
        <v>0.7922</v>
      </c>
      <c r="E37" s="74">
        <v>0.8882</v>
      </c>
      <c r="F37" s="74">
        <v>0.4622</v>
      </c>
      <c r="G37" s="74">
        <v>0.8502</v>
      </c>
      <c r="H37" s="74">
        <v>0.5461</v>
      </c>
      <c r="I37" s="74">
        <v>0.8688</v>
      </c>
      <c r="J37" s="74">
        <v>0.5007</v>
      </c>
      <c r="K37" s="74">
        <v>0.7583</v>
      </c>
    </row>
    <row r="38">
      <c r="B38" s="72"/>
      <c r="C38" s="117" t="s">
        <v>136</v>
      </c>
      <c r="D38" s="74">
        <v>0.8657</v>
      </c>
      <c r="E38" s="74">
        <v>0.8767</v>
      </c>
      <c r="F38" s="74">
        <v>0.7711</v>
      </c>
      <c r="G38" s="74">
        <v>0.9705</v>
      </c>
      <c r="H38" s="74">
        <v>0.4211</v>
      </c>
      <c r="I38" s="74">
        <v>0.9213</v>
      </c>
      <c r="J38" s="74">
        <v>0.5448</v>
      </c>
      <c r="K38" s="74">
        <v>0.765</v>
      </c>
    </row>
    <row r="39">
      <c r="B39" s="72"/>
      <c r="C39" s="117" t="s">
        <v>137</v>
      </c>
      <c r="D39" s="74">
        <v>0.8169</v>
      </c>
      <c r="E39" s="74">
        <v>0.8889</v>
      </c>
      <c r="F39" s="74">
        <v>0.5197</v>
      </c>
      <c r="G39" s="74">
        <v>0.8843</v>
      </c>
      <c r="H39" s="74">
        <v>0.5312</v>
      </c>
      <c r="I39" s="74">
        <v>0.8866</v>
      </c>
      <c r="J39" s="74">
        <v>0.5254</v>
      </c>
      <c r="K39" s="74">
        <v>0.7417</v>
      </c>
    </row>
    <row r="40">
      <c r="B40" s="72"/>
      <c r="C40" s="117" t="s">
        <v>138</v>
      </c>
      <c r="D40" s="74">
        <v>0.7695</v>
      </c>
      <c r="E40" s="74">
        <v>0.8863</v>
      </c>
      <c r="F40" s="74">
        <v>0.4208</v>
      </c>
      <c r="G40" s="74">
        <v>0.8204</v>
      </c>
      <c r="H40" s="74">
        <v>0.5536</v>
      </c>
      <c r="I40" s="74">
        <v>0.8521</v>
      </c>
      <c r="J40" s="74">
        <v>0.4781</v>
      </c>
      <c r="K40" s="74">
        <v>0.7555</v>
      </c>
    </row>
    <row r="41">
      <c r="B41" s="72"/>
      <c r="C41" s="117" t="s">
        <v>139</v>
      </c>
      <c r="D41" s="74">
        <v>0.7956</v>
      </c>
      <c r="E41" s="74">
        <v>0.8865</v>
      </c>
      <c r="F41" s="74">
        <v>0.4687</v>
      </c>
      <c r="G41" s="74">
        <v>0.8572</v>
      </c>
      <c r="H41" s="74">
        <v>0.5342</v>
      </c>
      <c r="I41" s="74">
        <v>0.8716</v>
      </c>
      <c r="J41" s="74">
        <v>0.4993</v>
      </c>
      <c r="K41" s="74">
        <v>0.7237</v>
      </c>
    </row>
    <row r="42">
      <c r="B42" s="72"/>
      <c r="C42" s="115" t="s">
        <v>258</v>
      </c>
      <c r="D42" s="118">
        <f t="shared" ref="D42:K42" si="6">AVERAGE(D37:D41)</f>
        <v>0.80798</v>
      </c>
      <c r="E42" s="118">
        <f t="shared" si="6"/>
        <v>0.88532</v>
      </c>
      <c r="F42" s="118">
        <f t="shared" si="6"/>
        <v>0.5285</v>
      </c>
      <c r="G42" s="118">
        <f t="shared" si="6"/>
        <v>0.87652</v>
      </c>
      <c r="H42" s="118">
        <f t="shared" si="6"/>
        <v>0.51724</v>
      </c>
      <c r="I42" s="118">
        <f t="shared" si="6"/>
        <v>0.88008</v>
      </c>
      <c r="J42" s="118">
        <f t="shared" si="6"/>
        <v>0.50966</v>
      </c>
      <c r="K42" s="118">
        <f t="shared" si="6"/>
        <v>0.74884</v>
      </c>
    </row>
    <row r="43">
      <c r="B43" s="58" t="s">
        <v>140</v>
      </c>
      <c r="C43" s="117" t="s">
        <v>134</v>
      </c>
      <c r="D43" s="74">
        <v>0.8907</v>
      </c>
      <c r="E43" s="74">
        <v>0.8822</v>
      </c>
      <c r="F43" s="74">
        <v>0.9832</v>
      </c>
      <c r="G43" s="74">
        <v>0.9982</v>
      </c>
      <c r="H43" s="74">
        <v>0.4345</v>
      </c>
      <c r="I43" s="74">
        <v>0.9366</v>
      </c>
      <c r="J43" s="74">
        <v>0.6027</v>
      </c>
      <c r="K43" s="74">
        <v>0.7294</v>
      </c>
    </row>
    <row r="44">
      <c r="B44" s="72"/>
      <c r="C44" s="117" t="s">
        <v>135</v>
      </c>
      <c r="D44" s="74">
        <v>0.8884</v>
      </c>
      <c r="E44" s="74">
        <v>0.8919</v>
      </c>
      <c r="F44" s="74">
        <v>0.8605</v>
      </c>
      <c r="G44" s="74">
        <v>0.9811</v>
      </c>
      <c r="H44" s="74">
        <v>0.4955</v>
      </c>
      <c r="I44" s="74">
        <v>0.9344</v>
      </c>
      <c r="J44" s="74">
        <v>0.6289</v>
      </c>
      <c r="K44" s="74">
        <v>0.8081</v>
      </c>
    </row>
    <row r="45">
      <c r="B45" s="72"/>
      <c r="C45" s="117" t="s">
        <v>136</v>
      </c>
      <c r="D45" s="74">
        <v>0.8916</v>
      </c>
      <c r="E45" s="74">
        <v>0.8915</v>
      </c>
      <c r="F45" s="74">
        <v>0.8919</v>
      </c>
      <c r="G45" s="74">
        <v>0.986</v>
      </c>
      <c r="H45" s="74">
        <v>0.4911</v>
      </c>
      <c r="I45" s="74">
        <v>0.9364</v>
      </c>
      <c r="J45" s="74">
        <v>0.6334</v>
      </c>
      <c r="K45" s="74">
        <v>0.8022</v>
      </c>
    </row>
    <row r="46">
      <c r="B46" s="72"/>
      <c r="C46" s="117" t="s">
        <v>137</v>
      </c>
      <c r="D46" s="74">
        <v>0.893</v>
      </c>
      <c r="E46" s="74">
        <v>0.8875</v>
      </c>
      <c r="F46" s="74">
        <v>0.9456</v>
      </c>
      <c r="G46" s="74">
        <v>0.9937</v>
      </c>
      <c r="H46" s="74">
        <v>0.4658</v>
      </c>
      <c r="I46" s="74">
        <v>0.9376</v>
      </c>
      <c r="J46" s="74">
        <v>0.6241</v>
      </c>
      <c r="K46" s="74">
        <v>0.6697</v>
      </c>
    </row>
    <row r="47">
      <c r="B47" s="72"/>
      <c r="C47" s="117" t="s">
        <v>138</v>
      </c>
      <c r="D47" s="74">
        <v>0.8919</v>
      </c>
      <c r="E47" s="74">
        <v>0.8857</v>
      </c>
      <c r="F47" s="74">
        <v>0.9533</v>
      </c>
      <c r="G47" s="74">
        <v>0.9947</v>
      </c>
      <c r="H47" s="74">
        <v>0.4554</v>
      </c>
      <c r="I47" s="74">
        <v>0.9371</v>
      </c>
      <c r="J47" s="74">
        <v>0.6163</v>
      </c>
      <c r="K47" s="74">
        <v>0.8919</v>
      </c>
    </row>
    <row r="48">
      <c r="B48" s="72"/>
      <c r="C48" s="117" t="s">
        <v>139</v>
      </c>
      <c r="D48" s="74">
        <v>0.8944</v>
      </c>
      <c r="E48" s="74">
        <v>0.8961</v>
      </c>
      <c r="F48" s="74">
        <v>0.8807</v>
      </c>
      <c r="G48" s="74">
        <v>0.9835</v>
      </c>
      <c r="H48" s="74">
        <v>0.5164</v>
      </c>
      <c r="I48" s="74">
        <v>0.9378</v>
      </c>
      <c r="J48" s="74">
        <v>0.651</v>
      </c>
      <c r="K48" s="74">
        <v>0.8342</v>
      </c>
    </row>
    <row r="49">
      <c r="B49" s="64"/>
      <c r="C49" s="115" t="s">
        <v>258</v>
      </c>
      <c r="D49" s="118">
        <f t="shared" ref="D49:K49" si="7">AVERAGE(D44:D48)</f>
        <v>0.89186</v>
      </c>
      <c r="E49" s="118">
        <f t="shared" si="7"/>
        <v>0.89054</v>
      </c>
      <c r="F49" s="118">
        <f t="shared" si="7"/>
        <v>0.9064</v>
      </c>
      <c r="G49" s="118">
        <f t="shared" si="7"/>
        <v>0.9878</v>
      </c>
      <c r="H49" s="118">
        <f t="shared" si="7"/>
        <v>0.48484</v>
      </c>
      <c r="I49" s="118">
        <f t="shared" si="7"/>
        <v>0.93666</v>
      </c>
      <c r="J49" s="118">
        <f t="shared" si="7"/>
        <v>0.63074</v>
      </c>
      <c r="K49" s="118">
        <f t="shared" si="7"/>
        <v>0.80122</v>
      </c>
    </row>
    <row r="50">
      <c r="B50" s="114" t="s">
        <v>258</v>
      </c>
      <c r="C50" s="62"/>
      <c r="D50" s="119">
        <f t="shared" ref="D50:K50" si="8">AVERAGE(D35,D42,D49)</f>
        <v>0.8629333333</v>
      </c>
      <c r="E50" s="119">
        <f t="shared" si="8"/>
        <v>0.8878866667</v>
      </c>
      <c r="F50" s="119">
        <f t="shared" si="8"/>
        <v>0.77882</v>
      </c>
      <c r="G50" s="119">
        <f t="shared" si="8"/>
        <v>0.95066</v>
      </c>
      <c r="H50" s="119">
        <f t="shared" si="8"/>
        <v>0.4907733333</v>
      </c>
      <c r="I50" s="119">
        <f t="shared" si="8"/>
        <v>0.91726</v>
      </c>
      <c r="J50" s="119">
        <f t="shared" si="8"/>
        <v>0.5859</v>
      </c>
      <c r="K50" s="119">
        <f t="shared" si="8"/>
        <v>0.76836</v>
      </c>
    </row>
    <row r="52">
      <c r="B52" s="58" t="s">
        <v>126</v>
      </c>
      <c r="C52" s="113" t="s">
        <v>127</v>
      </c>
      <c r="D52" s="58" t="s">
        <v>129</v>
      </c>
      <c r="E52" s="58" t="s">
        <v>143</v>
      </c>
      <c r="F52" s="58" t="s">
        <v>144</v>
      </c>
      <c r="G52" s="58" t="s">
        <v>145</v>
      </c>
      <c r="H52" s="58" t="s">
        <v>146</v>
      </c>
      <c r="I52" s="58" t="s">
        <v>147</v>
      </c>
      <c r="J52" s="58" t="s">
        <v>148</v>
      </c>
      <c r="K52" s="58" t="s">
        <v>133</v>
      </c>
    </row>
    <row r="53">
      <c r="B53" s="64"/>
      <c r="C53" s="64"/>
      <c r="D53" s="64"/>
      <c r="E53" s="64"/>
      <c r="F53" s="64"/>
      <c r="G53" s="64"/>
      <c r="H53" s="64"/>
      <c r="I53" s="64"/>
      <c r="J53" s="64"/>
      <c r="K53" s="64"/>
    </row>
    <row r="54">
      <c r="B54" s="58" t="s">
        <v>35</v>
      </c>
      <c r="C54" s="120" t="s">
        <v>134</v>
      </c>
      <c r="D54" s="121">
        <v>0.8904</v>
      </c>
      <c r="E54" s="121">
        <v>0.8858</v>
      </c>
      <c r="F54" s="121">
        <v>0.936</v>
      </c>
      <c r="G54" s="121">
        <v>0.9926</v>
      </c>
      <c r="H54" s="121">
        <v>0.4568</v>
      </c>
      <c r="I54" s="121">
        <v>0.9362</v>
      </c>
      <c r="J54" s="121">
        <v>0.614</v>
      </c>
      <c r="K54" s="121">
        <v>0.776</v>
      </c>
    </row>
    <row r="55">
      <c r="B55" s="64"/>
      <c r="C55" s="122" t="s">
        <v>258</v>
      </c>
      <c r="D55" s="123">
        <v>0.8889600000000002</v>
      </c>
      <c r="E55" s="123">
        <v>0.8878</v>
      </c>
      <c r="F55" s="123">
        <v>0.9015599999999999</v>
      </c>
      <c r="G55" s="123">
        <v>0.98766</v>
      </c>
      <c r="H55" s="123">
        <v>0.47024</v>
      </c>
      <c r="I55" s="123">
        <v>0.9350400000000001</v>
      </c>
      <c r="J55" s="123">
        <v>0.6173000000000001</v>
      </c>
      <c r="K55" s="123">
        <v>0.75502</v>
      </c>
    </row>
    <row r="56">
      <c r="B56" s="58" t="s">
        <v>86</v>
      </c>
      <c r="C56" s="120" t="s">
        <v>134</v>
      </c>
      <c r="D56" s="121">
        <v>0.8104</v>
      </c>
      <c r="E56" s="121">
        <v>0.8755</v>
      </c>
      <c r="F56" s="121">
        <v>0.5032</v>
      </c>
      <c r="G56" s="121">
        <v>0.8927</v>
      </c>
      <c r="H56" s="121">
        <v>0.4613</v>
      </c>
      <c r="I56" s="121">
        <v>0.884</v>
      </c>
      <c r="J56" s="121">
        <v>0.4814</v>
      </c>
      <c r="K56" s="121">
        <v>0.7104</v>
      </c>
    </row>
    <row r="57">
      <c r="B57" s="64"/>
      <c r="C57" s="122" t="s">
        <v>258</v>
      </c>
      <c r="D57" s="123">
        <v>0.80798</v>
      </c>
      <c r="E57" s="123">
        <v>0.8853199999999999</v>
      </c>
      <c r="F57" s="123">
        <v>0.5285</v>
      </c>
      <c r="G57" s="123">
        <v>0.87652</v>
      </c>
      <c r="H57" s="123">
        <v>0.5172399999999999</v>
      </c>
      <c r="I57" s="123">
        <v>0.8800800000000001</v>
      </c>
      <c r="J57" s="123">
        <v>0.50966</v>
      </c>
      <c r="K57" s="123">
        <v>0.74884</v>
      </c>
    </row>
    <row r="58">
      <c r="B58" s="58" t="s">
        <v>140</v>
      </c>
      <c r="C58" s="120" t="s">
        <v>134</v>
      </c>
      <c r="D58" s="121">
        <v>0.8907</v>
      </c>
      <c r="E58" s="121">
        <v>0.8822</v>
      </c>
      <c r="F58" s="121">
        <v>0.9832</v>
      </c>
      <c r="G58" s="121">
        <v>0.9982</v>
      </c>
      <c r="H58" s="121">
        <v>0.4345</v>
      </c>
      <c r="I58" s="121">
        <v>0.9366</v>
      </c>
      <c r="J58" s="121">
        <v>0.6027</v>
      </c>
      <c r="K58" s="121">
        <v>0.7294</v>
      </c>
    </row>
    <row r="59">
      <c r="B59" s="64"/>
      <c r="C59" s="122" t="s">
        <v>258</v>
      </c>
      <c r="D59" s="123">
        <v>0.89186</v>
      </c>
      <c r="E59" s="123">
        <v>0.8905399999999999</v>
      </c>
      <c r="F59" s="123">
        <v>0.9064</v>
      </c>
      <c r="G59" s="123">
        <v>0.9878</v>
      </c>
      <c r="H59" s="123">
        <v>0.48484</v>
      </c>
      <c r="I59" s="123">
        <v>0.93666</v>
      </c>
      <c r="J59" s="123">
        <v>0.63074</v>
      </c>
      <c r="K59" s="123">
        <v>0.80122</v>
      </c>
    </row>
    <row r="60">
      <c r="B60" s="114" t="s">
        <v>258</v>
      </c>
      <c r="C60" s="62"/>
      <c r="D60" s="119">
        <v>0.8629333333333333</v>
      </c>
      <c r="E60" s="119">
        <v>0.8878866666666667</v>
      </c>
      <c r="F60" s="119">
        <v>0.77882</v>
      </c>
      <c r="G60" s="119">
        <v>0.9506600000000001</v>
      </c>
      <c r="H60" s="119">
        <v>0.4907733333333333</v>
      </c>
      <c r="I60" s="119">
        <v>0.9172600000000001</v>
      </c>
      <c r="J60" s="119">
        <v>0.5859</v>
      </c>
      <c r="K60" s="119">
        <v>0.76836</v>
      </c>
    </row>
    <row r="63">
      <c r="D63" s="58" t="s">
        <v>129</v>
      </c>
      <c r="E63" s="58" t="s">
        <v>143</v>
      </c>
      <c r="F63" s="58" t="s">
        <v>144</v>
      </c>
      <c r="G63" s="58" t="s">
        <v>145</v>
      </c>
      <c r="H63" s="58" t="s">
        <v>146</v>
      </c>
      <c r="I63" s="58" t="s">
        <v>147</v>
      </c>
      <c r="J63" s="58" t="s">
        <v>148</v>
      </c>
      <c r="K63" s="58" t="s">
        <v>133</v>
      </c>
    </row>
    <row r="64">
      <c r="D64" s="64"/>
      <c r="E64" s="64"/>
      <c r="F64" s="64"/>
      <c r="G64" s="64"/>
      <c r="H64" s="64"/>
      <c r="I64" s="64"/>
      <c r="J64" s="64"/>
      <c r="K64" s="64"/>
    </row>
    <row r="65">
      <c r="D65" s="92">
        <v>0.8944</v>
      </c>
      <c r="E65" s="92">
        <v>0.8961</v>
      </c>
      <c r="F65" s="92">
        <v>0.8807</v>
      </c>
      <c r="G65" s="92">
        <v>0.9835</v>
      </c>
      <c r="H65" s="92">
        <v>0.5164</v>
      </c>
      <c r="I65" s="92">
        <v>0.9378</v>
      </c>
      <c r="J65" s="92">
        <v>0.651</v>
      </c>
      <c r="K65" s="92">
        <v>0.8342</v>
      </c>
    </row>
    <row r="68">
      <c r="B68" s="58" t="s">
        <v>126</v>
      </c>
      <c r="C68" s="113" t="s">
        <v>127</v>
      </c>
      <c r="D68" s="58" t="s">
        <v>129</v>
      </c>
      <c r="E68" s="114" t="s">
        <v>130</v>
      </c>
      <c r="F68" s="62"/>
      <c r="G68" s="114" t="s">
        <v>131</v>
      </c>
      <c r="H68" s="62"/>
      <c r="I68" s="114" t="s">
        <v>132</v>
      </c>
      <c r="J68" s="62"/>
      <c r="K68" s="58" t="s">
        <v>133</v>
      </c>
    </row>
    <row r="69">
      <c r="B69" s="64"/>
      <c r="C69" s="64"/>
      <c r="D69" s="64"/>
      <c r="E69" s="115">
        <v>0.0</v>
      </c>
      <c r="F69" s="115">
        <v>1.0</v>
      </c>
      <c r="G69" s="115">
        <v>0.0</v>
      </c>
      <c r="H69" s="115">
        <v>1.0</v>
      </c>
      <c r="I69" s="115">
        <v>0.0</v>
      </c>
      <c r="J69" s="115">
        <v>1.0</v>
      </c>
      <c r="K69" s="64"/>
    </row>
    <row r="70">
      <c r="B70" s="58" t="s">
        <v>35</v>
      </c>
      <c r="C70" s="117" t="s">
        <v>135</v>
      </c>
      <c r="D70" s="74">
        <v>0.9072</v>
      </c>
      <c r="E70" s="74">
        <v>0.9379</v>
      </c>
      <c r="F70" s="74">
        <v>0.7691</v>
      </c>
      <c r="G70" s="74">
        <v>0.9481</v>
      </c>
      <c r="H70" s="74">
        <v>0.7336</v>
      </c>
      <c r="I70" s="74">
        <v>0.943</v>
      </c>
      <c r="J70" s="74">
        <v>0.751</v>
      </c>
      <c r="K70" s="74">
        <v>0.9415</v>
      </c>
    </row>
    <row r="71">
      <c r="B71" s="72"/>
      <c r="C71" s="117" t="s">
        <v>136</v>
      </c>
      <c r="D71" s="74">
        <v>0.9126</v>
      </c>
      <c r="E71" s="74">
        <v>0.9466</v>
      </c>
      <c r="F71" s="74">
        <v>0.7692</v>
      </c>
      <c r="G71" s="74">
        <v>0.9453</v>
      </c>
      <c r="H71" s="74">
        <v>0.7738</v>
      </c>
      <c r="I71" s="74">
        <v>0.9459</v>
      </c>
      <c r="J71" s="74">
        <v>0.7715</v>
      </c>
      <c r="K71" s="74">
        <v>0.9423</v>
      </c>
    </row>
    <row r="72">
      <c r="B72" s="72"/>
      <c r="C72" s="117" t="s">
        <v>137</v>
      </c>
      <c r="D72" s="74">
        <v>0.9103</v>
      </c>
      <c r="E72" s="74">
        <v>0.9393</v>
      </c>
      <c r="F72" s="74">
        <v>0.779</v>
      </c>
      <c r="G72" s="74">
        <v>0.9505</v>
      </c>
      <c r="H72" s="74">
        <v>0.7396</v>
      </c>
      <c r="I72" s="74">
        <v>0.9449</v>
      </c>
      <c r="J72" s="74">
        <v>0.7588</v>
      </c>
      <c r="K72" s="74">
        <v>0.9404</v>
      </c>
    </row>
    <row r="73">
      <c r="B73" s="72"/>
      <c r="C73" s="117" t="s">
        <v>138</v>
      </c>
      <c r="D73" s="74">
        <v>0.9106</v>
      </c>
      <c r="E73" s="74">
        <v>0.9394</v>
      </c>
      <c r="F73" s="74">
        <v>0.7802</v>
      </c>
      <c r="G73" s="74">
        <v>0.9509</v>
      </c>
      <c r="H73" s="74">
        <v>0.7396</v>
      </c>
      <c r="I73" s="74">
        <v>0.9451</v>
      </c>
      <c r="J73" s="74">
        <v>0.7594</v>
      </c>
      <c r="K73" s="74">
        <v>0.9437</v>
      </c>
    </row>
    <row r="74">
      <c r="B74" s="72"/>
      <c r="C74" s="117" t="s">
        <v>139</v>
      </c>
      <c r="D74" s="68">
        <v>0.9046</v>
      </c>
      <c r="E74" s="68">
        <v>0.948</v>
      </c>
      <c r="F74" s="68">
        <v>0.7346</v>
      </c>
      <c r="G74" s="68">
        <v>0.9334</v>
      </c>
      <c r="H74" s="68">
        <v>0.7827</v>
      </c>
      <c r="I74" s="68">
        <v>0.9406</v>
      </c>
      <c r="J74" s="68">
        <v>0.7579</v>
      </c>
      <c r="K74" s="68">
        <v>0.937</v>
      </c>
    </row>
    <row r="75">
      <c r="B75" s="72"/>
      <c r="C75" s="115" t="s">
        <v>258</v>
      </c>
      <c r="D75" s="118">
        <f t="shared" ref="D75:K75" si="9">AVERAGE(D70:D74)</f>
        <v>0.90906</v>
      </c>
      <c r="E75" s="118">
        <f t="shared" si="9"/>
        <v>0.94224</v>
      </c>
      <c r="F75" s="118">
        <f t="shared" si="9"/>
        <v>0.76642</v>
      </c>
      <c r="G75" s="118">
        <f t="shared" si="9"/>
        <v>0.94564</v>
      </c>
      <c r="H75" s="118">
        <f t="shared" si="9"/>
        <v>0.75386</v>
      </c>
      <c r="I75" s="118">
        <f t="shared" si="9"/>
        <v>0.9439</v>
      </c>
      <c r="J75" s="118">
        <f t="shared" si="9"/>
        <v>0.75972</v>
      </c>
      <c r="K75" s="118">
        <f t="shared" si="9"/>
        <v>0.94098</v>
      </c>
    </row>
    <row r="76">
      <c r="B76" s="58" t="s">
        <v>86</v>
      </c>
      <c r="C76" s="117" t="s">
        <v>135</v>
      </c>
      <c r="D76" s="118">
        <v>0.9072</v>
      </c>
      <c r="E76" s="118">
        <v>0.9379</v>
      </c>
      <c r="F76" s="118">
        <v>0.7691</v>
      </c>
      <c r="G76" s="118">
        <v>0.9481</v>
      </c>
      <c r="H76" s="118">
        <v>0.7336</v>
      </c>
      <c r="I76" s="118">
        <v>0.943</v>
      </c>
      <c r="J76" s="118">
        <v>0.751</v>
      </c>
      <c r="K76" s="118">
        <v>0.9415</v>
      </c>
    </row>
    <row r="77">
      <c r="B77" s="72"/>
      <c r="C77" s="117" t="s">
        <v>136</v>
      </c>
      <c r="D77" s="118">
        <v>0.9126</v>
      </c>
      <c r="E77" s="118">
        <v>0.9466</v>
      </c>
      <c r="F77" s="118">
        <v>0.7692</v>
      </c>
      <c r="G77" s="118">
        <v>0.9453</v>
      </c>
      <c r="H77" s="118">
        <v>0.7738</v>
      </c>
      <c r="I77" s="118">
        <v>0.9459</v>
      </c>
      <c r="J77" s="118">
        <v>0.7715</v>
      </c>
      <c r="K77" s="118">
        <v>0.9423</v>
      </c>
    </row>
    <row r="78">
      <c r="B78" s="72"/>
      <c r="C78" s="117" t="s">
        <v>137</v>
      </c>
      <c r="D78" s="118">
        <v>0.9103</v>
      </c>
      <c r="E78" s="118">
        <v>0.9393</v>
      </c>
      <c r="F78" s="118">
        <v>0.779</v>
      </c>
      <c r="G78" s="118">
        <v>0.9505</v>
      </c>
      <c r="H78" s="118">
        <v>0.7396</v>
      </c>
      <c r="I78" s="118">
        <v>0.9449</v>
      </c>
      <c r="J78" s="118">
        <v>0.7588</v>
      </c>
      <c r="K78" s="118">
        <v>0.9404</v>
      </c>
    </row>
    <row r="79">
      <c r="B79" s="72"/>
      <c r="C79" s="117" t="s">
        <v>138</v>
      </c>
      <c r="D79" s="118">
        <v>0.9106</v>
      </c>
      <c r="E79" s="79">
        <v>0.9394</v>
      </c>
      <c r="F79" s="118">
        <v>0.7802</v>
      </c>
      <c r="G79" s="118">
        <v>0.9509</v>
      </c>
      <c r="H79" s="118">
        <v>0.7396</v>
      </c>
      <c r="I79" s="118">
        <v>0.9451</v>
      </c>
      <c r="J79" s="118">
        <v>0.7594</v>
      </c>
      <c r="K79" s="118">
        <v>0.9437</v>
      </c>
    </row>
    <row r="80">
      <c r="B80" s="72"/>
      <c r="C80" s="117" t="s">
        <v>139</v>
      </c>
      <c r="D80" s="118">
        <v>0.9046</v>
      </c>
      <c r="E80" s="118">
        <v>0.948</v>
      </c>
      <c r="F80" s="118">
        <v>0.7346</v>
      </c>
      <c r="G80" s="118">
        <v>0.9334</v>
      </c>
      <c r="H80" s="118">
        <v>0.7827</v>
      </c>
      <c r="I80" s="118">
        <v>0.9406</v>
      </c>
      <c r="J80" s="118">
        <v>0.7579</v>
      </c>
      <c r="K80" s="118">
        <v>0.937</v>
      </c>
    </row>
    <row r="81">
      <c r="B81" s="72"/>
      <c r="C81" s="115" t="s">
        <v>258</v>
      </c>
      <c r="D81" s="118">
        <f t="shared" ref="D81:K81" si="10">AVERAGE(D76:D80)</f>
        <v>0.90906</v>
      </c>
      <c r="E81" s="118">
        <f t="shared" si="10"/>
        <v>0.94224</v>
      </c>
      <c r="F81" s="118">
        <f t="shared" si="10"/>
        <v>0.76642</v>
      </c>
      <c r="G81" s="118">
        <f t="shared" si="10"/>
        <v>0.94564</v>
      </c>
      <c r="H81" s="118">
        <f t="shared" si="10"/>
        <v>0.75386</v>
      </c>
      <c r="I81" s="118">
        <f t="shared" si="10"/>
        <v>0.9439</v>
      </c>
      <c r="J81" s="118">
        <f t="shared" si="10"/>
        <v>0.75972</v>
      </c>
      <c r="K81" s="118">
        <f t="shared" si="10"/>
        <v>0.94098</v>
      </c>
    </row>
    <row r="82">
      <c r="B82" s="58" t="s">
        <v>140</v>
      </c>
      <c r="C82" s="117" t="s">
        <v>135</v>
      </c>
      <c r="D82" s="74">
        <v>0.9114</v>
      </c>
      <c r="E82" s="74">
        <v>0.9555</v>
      </c>
      <c r="F82" s="74">
        <v>0.7446</v>
      </c>
      <c r="G82" s="74">
        <v>0.9341</v>
      </c>
      <c r="H82" s="74">
        <v>0.8155</v>
      </c>
      <c r="I82" s="74">
        <v>0.9447</v>
      </c>
      <c r="J82" s="74">
        <v>0.7784</v>
      </c>
      <c r="K82" s="74">
        <v>0.9484</v>
      </c>
    </row>
    <row r="83">
      <c r="B83" s="72"/>
      <c r="C83" s="117" t="s">
        <v>136</v>
      </c>
      <c r="D83" s="74">
        <v>0.9112</v>
      </c>
      <c r="E83" s="74">
        <v>0.9503</v>
      </c>
      <c r="F83" s="74">
        <v>0.7546</v>
      </c>
      <c r="G83" s="74">
        <v>0.9393</v>
      </c>
      <c r="H83" s="74">
        <v>0.7917</v>
      </c>
      <c r="I83" s="74">
        <v>0.9448</v>
      </c>
      <c r="J83" s="74">
        <v>0.7727</v>
      </c>
      <c r="K83" s="74">
        <v>0.9462</v>
      </c>
    </row>
    <row r="84">
      <c r="B84" s="72"/>
      <c r="C84" s="117" t="s">
        <v>137</v>
      </c>
      <c r="D84" s="74">
        <v>0.9253</v>
      </c>
      <c r="E84" s="74">
        <v>0.9515</v>
      </c>
      <c r="F84" s="74">
        <v>0.8113</v>
      </c>
      <c r="G84" s="74">
        <v>0.9565</v>
      </c>
      <c r="H84" s="74">
        <v>0.7932</v>
      </c>
      <c r="I84" s="74">
        <v>0.954</v>
      </c>
      <c r="J84" s="74">
        <v>0.8021</v>
      </c>
      <c r="K84" s="74">
        <v>0.9565</v>
      </c>
    </row>
    <row r="85">
      <c r="B85" s="72"/>
      <c r="C85" s="117" t="s">
        <v>138</v>
      </c>
      <c r="D85" s="74">
        <v>0.9268</v>
      </c>
      <c r="E85" s="74">
        <v>0.9525</v>
      </c>
      <c r="F85" s="74">
        <v>0.8146</v>
      </c>
      <c r="G85" s="74">
        <v>0.9572</v>
      </c>
      <c r="H85" s="74">
        <v>0.7976</v>
      </c>
      <c r="I85" s="74">
        <v>0.9549</v>
      </c>
      <c r="J85" s="74">
        <v>0.806</v>
      </c>
      <c r="K85" s="74">
        <v>0.9385</v>
      </c>
    </row>
    <row r="86">
      <c r="B86" s="72"/>
      <c r="C86" s="117" t="s">
        <v>139</v>
      </c>
      <c r="D86" s="74">
        <v>0.9157</v>
      </c>
      <c r="E86" s="74">
        <v>0.9493</v>
      </c>
      <c r="F86" s="74">
        <v>0.7753</v>
      </c>
      <c r="G86" s="74">
        <v>0.9463</v>
      </c>
      <c r="H86" s="74">
        <v>0.7857</v>
      </c>
      <c r="I86" s="74">
        <v>0.9478</v>
      </c>
      <c r="J86" s="74">
        <v>0.7805</v>
      </c>
      <c r="K86" s="74">
        <v>0.9538</v>
      </c>
    </row>
    <row r="87">
      <c r="B87" s="72"/>
      <c r="C87" s="115" t="s">
        <v>258</v>
      </c>
      <c r="D87" s="118">
        <f t="shared" ref="D87:K87" si="11">AVERAGE(D82:D86)</f>
        <v>0.91808</v>
      </c>
      <c r="E87" s="118">
        <f t="shared" si="11"/>
        <v>0.95182</v>
      </c>
      <c r="F87" s="118">
        <f t="shared" si="11"/>
        <v>0.78008</v>
      </c>
      <c r="G87" s="118">
        <f t="shared" si="11"/>
        <v>0.94668</v>
      </c>
      <c r="H87" s="118">
        <f t="shared" si="11"/>
        <v>0.79674</v>
      </c>
      <c r="I87" s="118">
        <f t="shared" si="11"/>
        <v>0.94924</v>
      </c>
      <c r="J87" s="118">
        <f t="shared" si="11"/>
        <v>0.78794</v>
      </c>
      <c r="K87" s="118">
        <f t="shared" si="11"/>
        <v>0.94868</v>
      </c>
    </row>
    <row r="88">
      <c r="B88" s="114" t="s">
        <v>259</v>
      </c>
      <c r="C88" s="62"/>
      <c r="D88" s="119">
        <f t="shared" ref="D88:K88" si="12">AVERAGE(D75,D81,D87)</f>
        <v>0.9120666667</v>
      </c>
      <c r="E88" s="119">
        <f t="shared" si="12"/>
        <v>0.9454333333</v>
      </c>
      <c r="F88" s="119">
        <f t="shared" si="12"/>
        <v>0.7709733333</v>
      </c>
      <c r="G88" s="119">
        <f t="shared" si="12"/>
        <v>0.9459866667</v>
      </c>
      <c r="H88" s="119">
        <f t="shared" si="12"/>
        <v>0.7681533333</v>
      </c>
      <c r="I88" s="119">
        <f t="shared" si="12"/>
        <v>0.94568</v>
      </c>
      <c r="J88" s="119">
        <f t="shared" si="12"/>
        <v>0.7691266667</v>
      </c>
      <c r="K88" s="119">
        <f t="shared" si="12"/>
        <v>0.9435466667</v>
      </c>
    </row>
    <row r="92">
      <c r="B92" s="58" t="s">
        <v>126</v>
      </c>
      <c r="C92" s="113" t="s">
        <v>127</v>
      </c>
      <c r="D92" s="58" t="s">
        <v>129</v>
      </c>
      <c r="E92" s="114" t="s">
        <v>130</v>
      </c>
      <c r="F92" s="62"/>
      <c r="G92" s="114" t="s">
        <v>131</v>
      </c>
      <c r="H92" s="62"/>
      <c r="I92" s="114" t="s">
        <v>132</v>
      </c>
      <c r="J92" s="62"/>
      <c r="K92" s="58" t="s">
        <v>133</v>
      </c>
    </row>
    <row r="93">
      <c r="B93" s="64"/>
      <c r="C93" s="64"/>
      <c r="D93" s="64"/>
      <c r="E93" s="115">
        <v>0.0</v>
      </c>
      <c r="F93" s="115">
        <v>1.0</v>
      </c>
      <c r="G93" s="115">
        <v>0.0</v>
      </c>
      <c r="H93" s="115">
        <v>1.0</v>
      </c>
      <c r="I93" s="115">
        <v>0.0</v>
      </c>
      <c r="J93" s="115">
        <v>1.0</v>
      </c>
      <c r="K93" s="64"/>
    </row>
    <row r="94">
      <c r="B94" s="58" t="s">
        <v>35</v>
      </c>
      <c r="C94" s="74" t="s">
        <v>134</v>
      </c>
      <c r="D94" s="74">
        <v>0.916</v>
      </c>
      <c r="E94" s="74">
        <v>0.935</v>
      </c>
      <c r="F94" s="74">
        <v>0.8208</v>
      </c>
      <c r="G94" s="74">
        <v>0.9632</v>
      </c>
      <c r="H94" s="74">
        <v>0.7158</v>
      </c>
      <c r="I94" s="74">
        <v>0.9489</v>
      </c>
      <c r="J94" s="74">
        <v>0.7647</v>
      </c>
      <c r="K94" s="74">
        <v>0.951</v>
      </c>
    </row>
    <row r="95">
      <c r="B95" s="72"/>
      <c r="C95" s="74" t="s">
        <v>260</v>
      </c>
      <c r="D95" s="74">
        <v>0.9148</v>
      </c>
      <c r="E95" s="74">
        <v>0.9448</v>
      </c>
      <c r="F95" s="74">
        <v>0.7839</v>
      </c>
      <c r="G95" s="74">
        <v>0.9503</v>
      </c>
      <c r="H95" s="74">
        <v>0.7643</v>
      </c>
      <c r="I95" s="74">
        <v>0.9475</v>
      </c>
      <c r="J95" s="74">
        <v>0.7739</v>
      </c>
      <c r="K95" s="74">
        <v>0.9481</v>
      </c>
    </row>
    <row r="96">
      <c r="B96" s="72"/>
      <c r="C96" s="74" t="s">
        <v>261</v>
      </c>
      <c r="D96" s="74">
        <v>0.9149</v>
      </c>
      <c r="E96" s="74">
        <v>0.946</v>
      </c>
      <c r="F96" s="74">
        <v>0.7814</v>
      </c>
      <c r="G96" s="74">
        <v>0.9491</v>
      </c>
      <c r="H96" s="74">
        <v>0.7703</v>
      </c>
      <c r="I96" s="74">
        <v>0.9475</v>
      </c>
      <c r="J96" s="74">
        <v>0.7755</v>
      </c>
      <c r="K96" s="74">
        <v>0.9465</v>
      </c>
    </row>
    <row r="97">
      <c r="B97" s="64"/>
      <c r="C97" s="74" t="s">
        <v>262</v>
      </c>
      <c r="D97" s="124"/>
      <c r="E97" s="124"/>
      <c r="F97" s="124"/>
      <c r="G97" s="124"/>
      <c r="H97" s="124"/>
      <c r="I97" s="124"/>
      <c r="J97" s="124"/>
      <c r="K97" s="124"/>
    </row>
    <row r="98">
      <c r="B98" s="58" t="s">
        <v>263</v>
      </c>
      <c r="C98" s="74" t="s">
        <v>134</v>
      </c>
      <c r="D98" s="74">
        <v>0.8984</v>
      </c>
      <c r="E98" s="74">
        <v>0.9431</v>
      </c>
      <c r="F98" s="74">
        <v>0.7211</v>
      </c>
      <c r="G98" s="74">
        <v>0.9306</v>
      </c>
      <c r="H98" s="74">
        <v>0.7619</v>
      </c>
      <c r="I98" s="74">
        <v>0.9368</v>
      </c>
      <c r="J98" s="74">
        <v>0.741</v>
      </c>
      <c r="K98" s="74">
        <v>0.9217</v>
      </c>
    </row>
    <row r="99">
      <c r="B99" s="72"/>
      <c r="C99" s="74" t="s">
        <v>260</v>
      </c>
      <c r="D99" s="74">
        <v>0.8169</v>
      </c>
      <c r="E99" s="74">
        <v>0.9488</v>
      </c>
      <c r="F99" s="74">
        <v>0.5264</v>
      </c>
      <c r="G99" s="74">
        <v>0.8185</v>
      </c>
      <c r="H99" s="74">
        <v>0.8101</v>
      </c>
      <c r="I99" s="74">
        <v>0.877</v>
      </c>
      <c r="J99" s="74">
        <v>0.6331</v>
      </c>
      <c r="K99" s="74">
        <v>0.8945</v>
      </c>
    </row>
    <row r="100">
      <c r="B100" s="72"/>
      <c r="C100" s="74" t="s">
        <v>261</v>
      </c>
      <c r="D100" s="74">
        <v>0.8035</v>
      </c>
      <c r="E100" s="74">
        <v>0.9495</v>
      </c>
      <c r="F100" s="74">
        <v>0.5027</v>
      </c>
      <c r="G100" s="74">
        <v>0.8</v>
      </c>
      <c r="H100" s="74">
        <v>0.8181</v>
      </c>
      <c r="I100" s="74">
        <v>0.8668</v>
      </c>
      <c r="J100" s="74">
        <v>0.6185</v>
      </c>
      <c r="K100" s="74">
        <v>0.8913</v>
      </c>
    </row>
    <row r="101">
      <c r="B101" s="64"/>
      <c r="C101" s="74" t="s">
        <v>262</v>
      </c>
      <c r="D101" s="124"/>
      <c r="E101" s="124"/>
      <c r="F101" s="124"/>
      <c r="G101" s="124"/>
      <c r="H101" s="124"/>
      <c r="I101" s="124"/>
      <c r="J101" s="124"/>
      <c r="K101" s="124"/>
    </row>
    <row r="102">
      <c r="B102" s="58" t="s">
        <v>140</v>
      </c>
      <c r="C102" s="74" t="s">
        <v>134</v>
      </c>
      <c r="D102" s="74">
        <v>0.931</v>
      </c>
      <c r="E102" s="74">
        <v>0.9518</v>
      </c>
      <c r="F102" s="74">
        <v>0.8367</v>
      </c>
      <c r="G102" s="74">
        <v>0.9635</v>
      </c>
      <c r="H102" s="74">
        <v>0.7932</v>
      </c>
      <c r="I102" s="74">
        <v>0.9576</v>
      </c>
      <c r="J102" s="74">
        <v>0.8144</v>
      </c>
      <c r="K102" s="74">
        <v>0.9597</v>
      </c>
    </row>
    <row r="103">
      <c r="B103" s="72"/>
      <c r="C103" s="74" t="s">
        <v>260</v>
      </c>
      <c r="D103" s="74">
        <v>0.9236</v>
      </c>
      <c r="E103" s="74">
        <v>0.9485</v>
      </c>
      <c r="F103" s="74">
        <v>0.8133</v>
      </c>
      <c r="G103" s="74">
        <v>0.9577</v>
      </c>
      <c r="H103" s="74">
        <v>0.7792</v>
      </c>
      <c r="I103" s="74">
        <v>0.953</v>
      </c>
      <c r="J103" s="74">
        <v>0.7955</v>
      </c>
      <c r="K103" s="74">
        <v>0.939</v>
      </c>
    </row>
    <row r="104">
      <c r="B104" s="72"/>
      <c r="C104" s="74" t="s">
        <v>261</v>
      </c>
      <c r="D104" s="74">
        <v>0.922</v>
      </c>
      <c r="E104" s="74">
        <v>0.9489</v>
      </c>
      <c r="F104" s="74">
        <v>0.8042</v>
      </c>
      <c r="G104" s="74">
        <v>0.955</v>
      </c>
      <c r="H104" s="74">
        <v>0.7818</v>
      </c>
      <c r="I104" s="74">
        <v>0.9519</v>
      </c>
      <c r="J104" s="74">
        <v>0.7926</v>
      </c>
      <c r="K104" s="74">
        <v>0.9422</v>
      </c>
    </row>
    <row r="105">
      <c r="B105" s="64"/>
      <c r="C105" s="74" t="s">
        <v>262</v>
      </c>
      <c r="D105" s="124"/>
      <c r="E105" s="124"/>
      <c r="F105" s="124"/>
      <c r="G105" s="124"/>
      <c r="H105" s="124"/>
      <c r="I105" s="124"/>
      <c r="J105" s="124"/>
      <c r="K105" s="124"/>
    </row>
    <row r="106">
      <c r="B106" s="58" t="s">
        <v>259</v>
      </c>
      <c r="C106" s="125">
        <v>0.6</v>
      </c>
      <c r="D106" s="115">
        <v>0.8851</v>
      </c>
      <c r="E106" s="115">
        <v>0.9474</v>
      </c>
      <c r="F106" s="115">
        <v>0.7079</v>
      </c>
      <c r="G106" s="115">
        <v>0.9088</v>
      </c>
      <c r="H106" s="115">
        <v>0.7845</v>
      </c>
      <c r="I106" s="115">
        <v>0.9259</v>
      </c>
      <c r="J106" s="115">
        <v>0.7342</v>
      </c>
      <c r="K106" s="115">
        <v>0.9272</v>
      </c>
    </row>
    <row r="107">
      <c r="B107" s="72"/>
      <c r="C107" s="125">
        <v>0.8</v>
      </c>
      <c r="D107" s="115">
        <v>0.8801</v>
      </c>
      <c r="E107" s="115">
        <v>0.9482</v>
      </c>
      <c r="F107" s="115">
        <v>0.6961</v>
      </c>
      <c r="G107" s="115">
        <v>0.9014</v>
      </c>
      <c r="H107" s="115">
        <v>0.7901</v>
      </c>
      <c r="I107" s="115">
        <v>0.9221</v>
      </c>
      <c r="J107" s="115">
        <v>0.7289</v>
      </c>
      <c r="K107" s="115">
        <v>0.9267</v>
      </c>
    </row>
    <row r="108">
      <c r="B108" s="64"/>
      <c r="C108" s="125">
        <v>1.0</v>
      </c>
      <c r="D108" s="126"/>
      <c r="E108" s="126"/>
      <c r="F108" s="126"/>
      <c r="G108" s="126"/>
      <c r="H108" s="126"/>
      <c r="I108" s="126"/>
      <c r="J108" s="126"/>
      <c r="K108" s="126"/>
    </row>
    <row r="109">
      <c r="B109" s="81"/>
    </row>
  </sheetData>
  <mergeCells count="69">
    <mergeCell ref="G63:G64"/>
    <mergeCell ref="H63:H64"/>
    <mergeCell ref="I63:I64"/>
    <mergeCell ref="J63:J64"/>
    <mergeCell ref="K63:K64"/>
    <mergeCell ref="B54:B55"/>
    <mergeCell ref="B56:B57"/>
    <mergeCell ref="B58:B59"/>
    <mergeCell ref="B60:C60"/>
    <mergeCell ref="D63:D64"/>
    <mergeCell ref="E63:E64"/>
    <mergeCell ref="F63:F64"/>
    <mergeCell ref="B94:B97"/>
    <mergeCell ref="B98:B101"/>
    <mergeCell ref="B102:B105"/>
    <mergeCell ref="B106:B108"/>
    <mergeCell ref="B70:B75"/>
    <mergeCell ref="B76:B81"/>
    <mergeCell ref="B82:B87"/>
    <mergeCell ref="B88:C88"/>
    <mergeCell ref="B92:B93"/>
    <mergeCell ref="C92:C93"/>
    <mergeCell ref="D92:D93"/>
    <mergeCell ref="B2:B3"/>
    <mergeCell ref="C2:C3"/>
    <mergeCell ref="D2:D3"/>
    <mergeCell ref="E2:F2"/>
    <mergeCell ref="G2:H2"/>
    <mergeCell ref="I2:J2"/>
    <mergeCell ref="K2:K3"/>
    <mergeCell ref="E27:E28"/>
    <mergeCell ref="F27:F28"/>
    <mergeCell ref="G27:G28"/>
    <mergeCell ref="H27:H28"/>
    <mergeCell ref="I27:I28"/>
    <mergeCell ref="J27:J28"/>
    <mergeCell ref="K27:K28"/>
    <mergeCell ref="B4:B10"/>
    <mergeCell ref="B11:B17"/>
    <mergeCell ref="B18:B24"/>
    <mergeCell ref="B25:C25"/>
    <mergeCell ref="B27:B28"/>
    <mergeCell ref="C27:C28"/>
    <mergeCell ref="D27:D28"/>
    <mergeCell ref="E52:E53"/>
    <mergeCell ref="F52:F53"/>
    <mergeCell ref="G52:G53"/>
    <mergeCell ref="H52:H53"/>
    <mergeCell ref="I52:I53"/>
    <mergeCell ref="J52:J53"/>
    <mergeCell ref="K52:K53"/>
    <mergeCell ref="B29:B35"/>
    <mergeCell ref="B36:B42"/>
    <mergeCell ref="B43:B49"/>
    <mergeCell ref="B50:C50"/>
    <mergeCell ref="B52:B53"/>
    <mergeCell ref="C52:C53"/>
    <mergeCell ref="D52:D53"/>
    <mergeCell ref="B68:B69"/>
    <mergeCell ref="C68:C69"/>
    <mergeCell ref="D68:D69"/>
    <mergeCell ref="E68:F68"/>
    <mergeCell ref="G68:H68"/>
    <mergeCell ref="I68:J68"/>
    <mergeCell ref="K68:K69"/>
    <mergeCell ref="E92:F92"/>
    <mergeCell ref="G92:H92"/>
    <mergeCell ref="I92:J92"/>
    <mergeCell ref="K92:K93"/>
  </mergeCells>
  <drawing r:id="rId1"/>
</worksheet>
</file>